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17"/>
  <workbookPr/>
  <mc:AlternateContent xmlns:mc="http://schemas.openxmlformats.org/markup-compatibility/2006">
    <mc:Choice Requires="x15">
      <x15ac:absPath xmlns:x15ac="http://schemas.microsoft.com/office/spreadsheetml/2010/11/ac" url="C:\Users\Dell Gaming G15\Desktop\Power Bı İş Cinayetleri Raporu\"/>
    </mc:Choice>
  </mc:AlternateContent>
  <xr:revisionPtr revIDLastSave="0" documentId="13_ncr:1_{8783E1DB-91E0-4909-A6E2-1DBD5A00EA45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İl" sheetId="1" r:id="rId1"/>
    <sheet name="Yaş" sheetId="2" r:id="rId2"/>
    <sheet name="Aylar " sheetId="3" r:id="rId3"/>
    <sheet name="Sektör" sheetId="6" r:id="rId4"/>
    <sheet name="Sektör Hesaplı" sheetId="5" r:id="rId5"/>
    <sheet name="Cinsiyet Hesaplı" sheetId="7" r:id="rId6"/>
    <sheet name="Yaş Hesaplı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3" i="1" l="1"/>
  <c r="C83" i="1"/>
  <c r="A3" i="2" l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</calcChain>
</file>

<file path=xl/sharedStrings.xml><?xml version="1.0" encoding="utf-8"?>
<sst xmlns="http://schemas.openxmlformats.org/spreadsheetml/2006/main" count="209" uniqueCount="200">
  <si>
    <t>Adana</t>
  </si>
  <si>
    <t>Adıyaman</t>
  </si>
  <si>
    <t>Afyonkarahisar</t>
  </si>
  <si>
    <t>Ağrı</t>
  </si>
  <si>
    <t>Amasya</t>
  </si>
  <si>
    <t>Ankara</t>
  </si>
  <si>
    <t>Antalya</t>
  </si>
  <si>
    <t>Artvin</t>
  </si>
  <si>
    <t>Aydın</t>
  </si>
  <si>
    <t>Balıkesir</t>
  </si>
  <si>
    <t>Bilecik</t>
  </si>
  <si>
    <t>Bingöl</t>
  </si>
  <si>
    <t>Bitlis</t>
  </si>
  <si>
    <t>Bolu</t>
  </si>
  <si>
    <t>Burdur</t>
  </si>
  <si>
    <t>Bursa</t>
  </si>
  <si>
    <t>Çanakkale</t>
  </si>
  <si>
    <t>Çankırı</t>
  </si>
  <si>
    <t>Çorum</t>
  </si>
  <si>
    <t>Denizli</t>
  </si>
  <si>
    <t>Diyarbakır</t>
  </si>
  <si>
    <t>Edirne</t>
  </si>
  <si>
    <t>Elazığ</t>
  </si>
  <si>
    <t>Erzincan</t>
  </si>
  <si>
    <t>Erzurum</t>
  </si>
  <si>
    <t>Eskişehir</t>
  </si>
  <si>
    <t>Gaziantep</t>
  </si>
  <si>
    <t>Giresun</t>
  </si>
  <si>
    <t>Gümüşhane</t>
  </si>
  <si>
    <t>Hakkari</t>
  </si>
  <si>
    <t>Hatay</t>
  </si>
  <si>
    <t>Isparta</t>
  </si>
  <si>
    <t>Mersin</t>
  </si>
  <si>
    <t>İstanbul</t>
  </si>
  <si>
    <t>İzmir</t>
  </si>
  <si>
    <t>Kars</t>
  </si>
  <si>
    <t>Kastamonu</t>
  </si>
  <si>
    <t>Kayseri</t>
  </si>
  <si>
    <t>Kırklareli</t>
  </si>
  <si>
    <t>Kırşehir</t>
  </si>
  <si>
    <t>Kocaeli</t>
  </si>
  <si>
    <t>Konya</t>
  </si>
  <si>
    <t>Kütahya</t>
  </si>
  <si>
    <t>Malatya</t>
  </si>
  <si>
    <t>Manisa</t>
  </si>
  <si>
    <t>Kahramanmaraş</t>
  </si>
  <si>
    <t>Mardin</t>
  </si>
  <si>
    <t>Muğla</t>
  </si>
  <si>
    <t>Muş</t>
  </si>
  <si>
    <t>Nevşehir</t>
  </si>
  <si>
    <t>Niğde</t>
  </si>
  <si>
    <t>Ordu</t>
  </si>
  <si>
    <t>Rize</t>
  </si>
  <si>
    <t>Sakarya</t>
  </si>
  <si>
    <t>Samsun</t>
  </si>
  <si>
    <t>Siirt</t>
  </si>
  <si>
    <t>Sinop</t>
  </si>
  <si>
    <t>Sivas</t>
  </si>
  <si>
    <t>Tekirdağ</t>
  </si>
  <si>
    <t>Tokat</t>
  </si>
  <si>
    <t>Trabzon</t>
  </si>
  <si>
    <t>Tunceli</t>
  </si>
  <si>
    <t>Şanlıurfa</t>
  </si>
  <si>
    <t>Uşak</t>
  </si>
  <si>
    <t>Van</t>
  </si>
  <si>
    <t>Yozgat</t>
  </si>
  <si>
    <t>Zonguldak</t>
  </si>
  <si>
    <t>Aksaray</t>
  </si>
  <si>
    <t>Bayburt</t>
  </si>
  <si>
    <t>Karaman</t>
  </si>
  <si>
    <t>Kırıkkale</t>
  </si>
  <si>
    <t>Batman</t>
  </si>
  <si>
    <t>Şırnak</t>
  </si>
  <si>
    <t>Bartın</t>
  </si>
  <si>
    <t>Ardahan</t>
  </si>
  <si>
    <t>Iğdır</t>
  </si>
  <si>
    <t>Yalova</t>
  </si>
  <si>
    <t>Karabük</t>
  </si>
  <si>
    <t>Kilis</t>
  </si>
  <si>
    <t>Osmaniye</t>
  </si>
  <si>
    <t>Düzce</t>
  </si>
  <si>
    <t>ID</t>
  </si>
  <si>
    <t>İL</t>
  </si>
  <si>
    <t>Erkek</t>
  </si>
  <si>
    <t>Kadın</t>
  </si>
  <si>
    <r>
      <t xml:space="preserve">80 ve üzeri              </t>
    </r>
    <r>
      <rPr>
        <sz val="10"/>
        <color theme="1"/>
        <rFont val="Times New Roman"/>
        <family val="1"/>
        <charset val="162"/>
      </rPr>
      <t>(80 and over)</t>
    </r>
  </si>
  <si>
    <t>Yaş</t>
  </si>
  <si>
    <t>Ay</t>
  </si>
  <si>
    <t>Ocak</t>
  </si>
  <si>
    <t>Şubat</t>
  </si>
  <si>
    <t>Mart</t>
  </si>
  <si>
    <t>Nisan</t>
  </si>
  <si>
    <t>Mayıs</t>
  </si>
  <si>
    <t>Haziran</t>
  </si>
  <si>
    <t>Temmuz</t>
  </si>
  <si>
    <t>Ağustos</t>
  </si>
  <si>
    <t>Eylül</t>
  </si>
  <si>
    <t>Ekim</t>
  </si>
  <si>
    <t>Kasım</t>
  </si>
  <si>
    <t>Aralık</t>
  </si>
  <si>
    <t>Aylar</t>
  </si>
  <si>
    <t>41-İkamet amaçlı olan ve ikamet amaçlı olmayan binaların inşaatı</t>
  </si>
  <si>
    <t>49-Kara taşımacılığı ve boru hattı taşımacılığı</t>
  </si>
  <si>
    <t>42-Bina dışı yapıların inşaatı</t>
  </si>
  <si>
    <t>43-Özel inşaat faaliyetleri</t>
  </si>
  <si>
    <t>25-Fabrikasyon metal ürünleri imalatı (makine ve teçhizat hariç)</t>
  </si>
  <si>
    <t>10-Gıda ürünlerinin imalatı</t>
  </si>
  <si>
    <t>23-Diğer metalik olmayan mineral ürünlerin imalatı</t>
  </si>
  <si>
    <t xml:space="preserve">46-Toptan ticaret </t>
  </si>
  <si>
    <t>56-Yiyecek ve içecek hizmeti faaliyetleri</t>
  </si>
  <si>
    <t xml:space="preserve">47-Perakende ticaret </t>
  </si>
  <si>
    <t>52-Depolama, ambarlama ve taşımacılık için destekleyici faaliyetler</t>
  </si>
  <si>
    <t>81-Binalar ile ilgili hizmetler ve çevre düzenlemesi faaliyetleri</t>
  </si>
  <si>
    <t>13-Tekstil ürünlerinin imalatı</t>
  </si>
  <si>
    <t>08-Diğer Madencilik ve Taş Ocakçılığı</t>
  </si>
  <si>
    <t>22-Kauçuk ve plastik ürünlerin imalatı</t>
  </si>
  <si>
    <t>33-Makine ve ekipmanların onarımı, bakımı ve kurulumu</t>
  </si>
  <si>
    <t>28-Başka yerde sınıflandırılmamış makine ve ekipman imalatı</t>
  </si>
  <si>
    <t>55-Konaklama</t>
  </si>
  <si>
    <t>24-Ana metal sanayii</t>
  </si>
  <si>
    <t>31-Mobilya imalatı</t>
  </si>
  <si>
    <t>16-Ağaç, ağaç ürünleri ve mantar ürünleri imalatı (mobilya hariç); saz, saman ve benzeri malzemelerden örülerek yapılan eşyaların imalatı</t>
  </si>
  <si>
    <t>35-Elektrik, gaz, buhar ve iklimlendirme sistemi üretim ve dağıtımı</t>
  </si>
  <si>
    <t>01-Bitkisel ve hayvansal üretim ile avcılık ve ilgili hizmet faaliyetleri</t>
  </si>
  <si>
    <t>80-Soruşturma ve güvenlik faaliyetleri</t>
  </si>
  <si>
    <t>82-Büro yönetimi, büro destek ve işletme destek faaliyetleri</t>
  </si>
  <si>
    <t>05-Kömür ve Linyit Çıkartılması</t>
  </si>
  <si>
    <t>30-Diğer ulaşım araçlarının imalatı</t>
  </si>
  <si>
    <t>38-Atık toplama, geri kazanım ve bertaraf faaliyetleri</t>
  </si>
  <si>
    <t>84-Kamu yönetimi ve savunma; zorunlu sosyal güvenlik</t>
  </si>
  <si>
    <t>14-Giyim eşyalarının imalatı</t>
  </si>
  <si>
    <t>27-Elektrikli teçhizat imalatı</t>
  </si>
  <si>
    <t>07-Metal Cevherleri Madenciliği</t>
  </si>
  <si>
    <t>68-Gayrimenkul faaliyetleri</t>
  </si>
  <si>
    <t>29-Motorlu kara taşıtı, treyler (römork) ve yarı treyler (yarı römork) imalatı</t>
  </si>
  <si>
    <t>20-Kimyasalların ve kimyasal ürünlerin imalatı</t>
  </si>
  <si>
    <t>86-İnsan sağlığı hizmetleri</t>
  </si>
  <si>
    <t>85-Eğitim</t>
  </si>
  <si>
    <t>02-Ormancılık ve endüstriyel ve yakacak odun üretimi</t>
  </si>
  <si>
    <t>70-İdare merkezi ve idari danışmanlık faaliyetleri</t>
  </si>
  <si>
    <t>15-Diğer malzemelerden deri ve ilgili ürünlerin imalatı</t>
  </si>
  <si>
    <t>79-Seyahat acentesi, tur operatörü ve diğer rezervasyon hizmetleri ile ilgili faaliyetler</t>
  </si>
  <si>
    <t>03-Balıkçılık ve su ürünleri yetiştiriciliği</t>
  </si>
  <si>
    <t>17-Kağıt ve kağıt ürünlerinin imalatı</t>
  </si>
  <si>
    <t>51-Hava yolu taşımacılığı</t>
  </si>
  <si>
    <t>53-Posta ve kurye faaliyetleri</t>
  </si>
  <si>
    <t>71-Mimarlık ve mühendislik faaliyetleri; teknik test ve analiz faaliyetleri</t>
  </si>
  <si>
    <t>32-Diğer imalatlar</t>
  </si>
  <si>
    <t>62-Bilgisayar programlama, danışmanlık ve ilgili faaliyetler</t>
  </si>
  <si>
    <t>64-Finansal hizmet faaliyetleri (Sigorta ve emeklilik fonları hariç)</t>
  </si>
  <si>
    <t>78-İstihdam faaliyetleri</t>
  </si>
  <si>
    <t>95-Bilgisayarların, kişisel eşyaların ve ev eşyalarının, motorlu kara taşıtlarının ve motosikletlerin onarım ve bakımı</t>
  </si>
  <si>
    <t>09-Madenciliği destekleyici hizmet faaliyetleri</t>
  </si>
  <si>
    <t>11-İçeceklerin imalatı</t>
  </si>
  <si>
    <t>18-Kayıtlı medyanın basılması ve çoğaltılması</t>
  </si>
  <si>
    <t>21-Temel eczacılık ürünlerinin ve eczacılığa ilişkin preparatların (müstahzarların) imalatı</t>
  </si>
  <si>
    <t>37-Kanalizasyon</t>
  </si>
  <si>
    <t>73-Reklamcılık, piyasa araştırması ve halkla ilişkiler faaliyetleri</t>
  </si>
  <si>
    <t>77-Kiralama ve leasing faaliyetleri</t>
  </si>
  <si>
    <t>26-Bilgisayarların, elektronik ve optik ürünlerin imalatı</t>
  </si>
  <si>
    <t>61-Telekomünikasyon</t>
  </si>
  <si>
    <t>88-Barınacak yer sağlanmaksızın verilen sosyal hizmetler</t>
  </si>
  <si>
    <t>96-Kişisel hizmet faaliyetleri</t>
  </si>
  <si>
    <t>19-Kok kömürü ve rafine edilmiş petrol ürünleri imalatı</t>
  </si>
  <si>
    <t>39-İyileştirme faaliyetleri ve diğer atık yönetimi hizmeti faaliyetleri</t>
  </si>
  <si>
    <t>50-Su yolu taşımacılığı</t>
  </si>
  <si>
    <t>66-Finansal hizmetler ile sigorta faaliyetleri için yardımcı faaliyetler</t>
  </si>
  <si>
    <t>87-Yatılı bakım faaliyetleri</t>
  </si>
  <si>
    <t>93-Spor faaliyetleri, eğlence (rekreasyon) ve dinlence faaliyetleri</t>
  </si>
  <si>
    <t>94-Üye olunan kuruluşların faaliyetleri</t>
  </si>
  <si>
    <t>06-Ham Petrol ve Doğalgaz çıkarımı</t>
  </si>
  <si>
    <t>12-Tütün ürünleri imalatı</t>
  </si>
  <si>
    <t>36-Suyun toplanması, arıtılması ve dağıtılması</t>
  </si>
  <si>
    <t>58-Yayımcılık faaliyetleri</t>
  </si>
  <si>
    <t>59-Sinema filmi, video ve televizyon programları yapımcılığı. ses kaydı ve müzik yayımlama faaliyetleri</t>
  </si>
  <si>
    <t>60-Programlama, yayıncılık, haber ajansı ve diğer içerik dağıtım faaliyetleri</t>
  </si>
  <si>
    <t>63-Bilişim altyapısı, veri işleme, barındırma ve diğer bilgi hizmeti faaliyetleri</t>
  </si>
  <si>
    <t>65-Sigorta, reasürans ve emeklilik fonları (Zorunlu sosyal güvenlik hariç)</t>
  </si>
  <si>
    <t>69-Hukuk ve muhasebe faaliyetleri</t>
  </si>
  <si>
    <t>72-Bilimsel araştırma ve geliştirme faaliyetleri</t>
  </si>
  <si>
    <t>74-Diğer mesleki, bilimsel ve teknik faaliyetler</t>
  </si>
  <si>
    <t>75-Veterinerlik hizmetleri</t>
  </si>
  <si>
    <t>90-Sanatsal yaratıcılık ve sahne sanatları faaliyetleri</t>
  </si>
  <si>
    <t>91-Kütüphaneler, arşivler, müzeler ve diğer kültürel faaliyetler</t>
  </si>
  <si>
    <t>92-Kumar ve müşterek bahis faaliyetleri</t>
  </si>
  <si>
    <t>97-Ev içi çalışan personelin işverenleri olarak hanehalklarının faaliyetleri</t>
  </si>
  <si>
    <t>98-Hanehalkları tarafından kendi kullanımlarına yönelik olarak üretilen ayrım yapılmamış mal ve hizmetler</t>
  </si>
  <si>
    <t>99-Uluslararası örgütler ve temsilciliklerinin faaliyetleri</t>
  </si>
  <si>
    <t>Bilinmeyen Unknown</t>
  </si>
  <si>
    <t>Taşımacılık</t>
  </si>
  <si>
    <t>Diğer</t>
  </si>
  <si>
    <t>Sektör</t>
  </si>
  <si>
    <t>Toplam</t>
  </si>
  <si>
    <t>Çocuk</t>
  </si>
  <si>
    <t xml:space="preserve">Erkek </t>
  </si>
  <si>
    <t>Yaşlı</t>
  </si>
  <si>
    <t>Tarım/Orman/Hayvancılık</t>
  </si>
  <si>
    <t>Madencilik</t>
  </si>
  <si>
    <t>İmalat</t>
  </si>
  <si>
    <t>İnşaat/Altyapı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</si>
</sst>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T_L_-;\-* #,##0.00\ _T_L_-;_-* &quot;-&quot;??\ _T_L_-;_-@_-"/>
    <numFmt numFmtId="165" formatCode="General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0"/>
      <name val="Arial"/>
      <family val="2"/>
      <charset val="162"/>
    </font>
    <font>
      <b/>
      <sz val="10"/>
      <color indexed="8"/>
      <name val="Times New Roman"/>
      <family val="1"/>
      <charset val="162"/>
    </font>
    <font>
      <sz val="10"/>
      <name val="MS Sans Serif"/>
      <family val="2"/>
      <charset val="162"/>
    </font>
    <font>
      <b/>
      <sz val="10"/>
      <name val="Times New Roman"/>
      <family val="1"/>
      <charset val="162"/>
    </font>
    <font>
      <b/>
      <sz val="9"/>
      <name val="Times New Roman"/>
      <family val="1"/>
      <charset val="162"/>
    </font>
    <font>
      <b/>
      <sz val="10"/>
      <color theme="1"/>
      <name val="Times New Roman"/>
      <family val="1"/>
      <charset val="162"/>
    </font>
    <font>
      <sz val="10"/>
      <color theme="1"/>
      <name val="Times New Roman"/>
      <family val="1"/>
      <charset val="16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9">
    <xf numFmtId="0" fontId="0" fillId="0" borderId="0"/>
    <xf numFmtId="0" fontId="1" fillId="0" borderId="0"/>
    <xf numFmtId="0" fontId="1" fillId="0" borderId="0"/>
    <xf numFmtId="164" fontId="2" fillId="0" borderId="0" applyFont="0" applyFill="0" applyBorder="0" applyAlignment="0" applyProtection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9">
    <xf numFmtId="0" fontId="0" fillId="0" borderId="0" xfId="0"/>
    <xf numFmtId="165" fontId="5" fillId="0" borderId="0" xfId="4" applyNumberFormat="1" applyFont="1" applyAlignment="1">
      <alignment horizontal="left" vertical="center"/>
    </xf>
    <xf numFmtId="0" fontId="3" fillId="0" borderId="0" xfId="3" quotePrefix="1" applyNumberFormat="1" applyFont="1" applyBorder="1" applyAlignment="1">
      <alignment horizontal="center" vertical="center"/>
    </xf>
    <xf numFmtId="0" fontId="6" fillId="0" borderId="0" xfId="6" applyFont="1" applyAlignment="1">
      <alignment horizontal="center" vertical="center" wrapText="1"/>
    </xf>
    <xf numFmtId="0" fontId="7" fillId="0" borderId="0" xfId="7" applyFont="1" applyAlignment="1">
      <alignment horizontal="center" vertical="center"/>
    </xf>
    <xf numFmtId="0" fontId="7" fillId="0" borderId="0" xfId="7" applyFont="1" applyAlignment="1">
      <alignment horizontal="center" vertical="center" wrapText="1"/>
    </xf>
    <xf numFmtId="0" fontId="6" fillId="0" borderId="0" xfId="6" quotePrefix="1" applyFont="1" applyAlignment="1">
      <alignment horizontal="center" vertical="center" wrapText="1"/>
    </xf>
    <xf numFmtId="0" fontId="7" fillId="0" borderId="0" xfId="8" quotePrefix="1" applyFont="1" applyAlignment="1">
      <alignment horizontal="center" vertical="center"/>
    </xf>
    <xf numFmtId="3" fontId="0" fillId="0" borderId="0" xfId="0" applyNumberFormat="1"/>
  </cellXfs>
  <cellStyles count="9">
    <cellStyle name="Binlik Ayracı_MYÖ2" xfId="3" xr:uid="{B241AB2B-6489-4A5A-A90E-091C70172F4E}"/>
    <cellStyle name="Normal" xfId="0" builtinId="0"/>
    <cellStyle name="Normal 10 3" xfId="7" xr:uid="{E00B12D2-4B19-46E6-9BA9-16C765F751FC}"/>
    <cellStyle name="Normal 2 2" xfId="5" xr:uid="{A85DE570-EFA4-42E3-853B-C82876239E14}"/>
    <cellStyle name="Normal 5 2" xfId="2" xr:uid="{FCC4FE2D-80A9-4FB8-B4A1-71BBD0649DC0}"/>
    <cellStyle name="Normal 8" xfId="1" xr:uid="{936F1C99-27F9-4A46-B66A-99A267C6C6FA}"/>
    <cellStyle name="Normal 9 2" xfId="8" xr:uid="{7BB8F33D-9864-4679-A383-8BA9B6290040}"/>
    <cellStyle name="Normal_2010 ist yıl 4-b 1479" xfId="4" xr:uid="{17946207-F988-4990-B20A-04FB1C03EAB4}"/>
    <cellStyle name="Normal_Sayfa2 2" xfId="6" xr:uid="{3B79011E-8ABA-40DC-B69D-2AD40D9B13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3"/>
  <sheetViews>
    <sheetView workbookViewId="0">
      <selection activeCell="F2" sqref="F2"/>
    </sheetView>
  </sheetViews>
  <sheetFormatPr defaultRowHeight="14.4" x14ac:dyDescent="0.3"/>
  <sheetData>
    <row r="1" spans="1:5" x14ac:dyDescent="0.3">
      <c r="A1" t="s">
        <v>81</v>
      </c>
      <c r="B1" t="s">
        <v>82</v>
      </c>
      <c r="C1" t="s">
        <v>83</v>
      </c>
      <c r="D1" t="s">
        <v>84</v>
      </c>
      <c r="E1" t="s">
        <v>192</v>
      </c>
    </row>
    <row r="2" spans="1:5" x14ac:dyDescent="0.3">
      <c r="A2" s="2">
        <v>1</v>
      </c>
      <c r="B2" s="1" t="s">
        <v>0</v>
      </c>
      <c r="C2" s="8">
        <v>49</v>
      </c>
      <c r="D2" s="8">
        <v>1</v>
      </c>
      <c r="E2" s="8">
        <v>50</v>
      </c>
    </row>
    <row r="3" spans="1:5" x14ac:dyDescent="0.3">
      <c r="A3" s="2">
        <v>2</v>
      </c>
      <c r="B3" s="1" t="s">
        <v>1</v>
      </c>
      <c r="C3" s="8">
        <v>19</v>
      </c>
      <c r="D3" s="8">
        <v>0</v>
      </c>
      <c r="E3" s="8">
        <v>19</v>
      </c>
    </row>
    <row r="4" spans="1:5" x14ac:dyDescent="0.3">
      <c r="A4" s="2">
        <v>3</v>
      </c>
      <c r="B4" s="1" t="s">
        <v>2</v>
      </c>
      <c r="C4" s="8">
        <v>11</v>
      </c>
      <c r="D4" s="8">
        <v>1</v>
      </c>
      <c r="E4" s="8">
        <v>12</v>
      </c>
    </row>
    <row r="5" spans="1:5" x14ac:dyDescent="0.3">
      <c r="A5" s="2">
        <v>4</v>
      </c>
      <c r="B5" s="1" t="s">
        <v>3</v>
      </c>
      <c r="C5" s="8">
        <v>5</v>
      </c>
      <c r="D5" s="8">
        <v>0</v>
      </c>
      <c r="E5" s="8">
        <v>5</v>
      </c>
    </row>
    <row r="6" spans="1:5" x14ac:dyDescent="0.3">
      <c r="A6" s="2">
        <v>5</v>
      </c>
      <c r="B6" s="1" t="s">
        <v>4</v>
      </c>
      <c r="C6" s="8">
        <v>3</v>
      </c>
      <c r="D6" s="8">
        <v>0</v>
      </c>
      <c r="E6" s="8">
        <v>3</v>
      </c>
    </row>
    <row r="7" spans="1:5" x14ac:dyDescent="0.3">
      <c r="A7" s="2">
        <v>6</v>
      </c>
      <c r="B7" s="1" t="s">
        <v>5</v>
      </c>
      <c r="C7" s="8">
        <v>143</v>
      </c>
      <c r="D7" s="8">
        <v>4</v>
      </c>
      <c r="E7" s="8">
        <v>147</v>
      </c>
    </row>
    <row r="8" spans="1:5" x14ac:dyDescent="0.3">
      <c r="A8" s="2">
        <v>7</v>
      </c>
      <c r="B8" s="1" t="s">
        <v>6</v>
      </c>
      <c r="C8" s="8">
        <v>69</v>
      </c>
      <c r="D8" s="8">
        <v>7</v>
      </c>
      <c r="E8" s="8">
        <v>76</v>
      </c>
    </row>
    <row r="9" spans="1:5" x14ac:dyDescent="0.3">
      <c r="A9" s="2">
        <v>8</v>
      </c>
      <c r="B9" s="1" t="s">
        <v>7</v>
      </c>
      <c r="C9" s="8">
        <v>9</v>
      </c>
      <c r="D9" s="8">
        <v>0</v>
      </c>
      <c r="E9" s="8">
        <v>9</v>
      </c>
    </row>
    <row r="10" spans="1:5" x14ac:dyDescent="0.3">
      <c r="A10" s="2">
        <v>9</v>
      </c>
      <c r="B10" s="1" t="s">
        <v>8</v>
      </c>
      <c r="C10" s="8">
        <v>20</v>
      </c>
      <c r="D10" s="8">
        <v>1</v>
      </c>
      <c r="E10" s="8">
        <v>21</v>
      </c>
    </row>
    <row r="11" spans="1:5" x14ac:dyDescent="0.3">
      <c r="A11" s="2">
        <v>10</v>
      </c>
      <c r="B11" s="1" t="s">
        <v>9</v>
      </c>
      <c r="C11" s="8">
        <v>39</v>
      </c>
      <c r="D11" s="8">
        <v>8</v>
      </c>
      <c r="E11" s="8">
        <v>47</v>
      </c>
    </row>
    <row r="12" spans="1:5" x14ac:dyDescent="0.3">
      <c r="A12" s="2">
        <v>11</v>
      </c>
      <c r="B12" s="1" t="s">
        <v>10</v>
      </c>
      <c r="C12" s="8">
        <v>8</v>
      </c>
      <c r="D12" s="8">
        <v>0</v>
      </c>
      <c r="E12" s="8">
        <v>8</v>
      </c>
    </row>
    <row r="13" spans="1:5" x14ac:dyDescent="0.3">
      <c r="A13" s="2">
        <v>12</v>
      </c>
      <c r="B13" s="1" t="s">
        <v>11</v>
      </c>
      <c r="C13" s="8">
        <v>2</v>
      </c>
      <c r="D13" s="8">
        <v>0</v>
      </c>
      <c r="E13" s="8">
        <v>2</v>
      </c>
    </row>
    <row r="14" spans="1:5" x14ac:dyDescent="0.3">
      <c r="A14" s="2">
        <v>13</v>
      </c>
      <c r="B14" s="1" t="s">
        <v>12</v>
      </c>
      <c r="C14" s="8">
        <v>0</v>
      </c>
      <c r="D14" s="8">
        <v>0</v>
      </c>
      <c r="E14" s="8">
        <v>0</v>
      </c>
    </row>
    <row r="15" spans="1:5" x14ac:dyDescent="0.3">
      <c r="A15" s="2">
        <v>14</v>
      </c>
      <c r="B15" s="1" t="s">
        <v>13</v>
      </c>
      <c r="C15" s="8">
        <v>7</v>
      </c>
      <c r="D15" s="8">
        <v>0</v>
      </c>
      <c r="E15" s="8">
        <v>7</v>
      </c>
    </row>
    <row r="16" spans="1:5" x14ac:dyDescent="0.3">
      <c r="A16" s="2">
        <v>15</v>
      </c>
      <c r="B16" s="1" t="s">
        <v>14</v>
      </c>
      <c r="C16" s="8">
        <v>12</v>
      </c>
      <c r="D16" s="8">
        <v>0</v>
      </c>
      <c r="E16" s="8">
        <v>12</v>
      </c>
    </row>
    <row r="17" spans="1:5" x14ac:dyDescent="0.3">
      <c r="A17" s="2">
        <v>16</v>
      </c>
      <c r="B17" s="1" t="s">
        <v>15</v>
      </c>
      <c r="C17" s="8">
        <v>85</v>
      </c>
      <c r="D17" s="8">
        <v>1</v>
      </c>
      <c r="E17" s="8">
        <v>86</v>
      </c>
    </row>
    <row r="18" spans="1:5" x14ac:dyDescent="0.3">
      <c r="A18" s="2">
        <v>17</v>
      </c>
      <c r="B18" s="1" t="s">
        <v>16</v>
      </c>
      <c r="C18" s="8">
        <v>12</v>
      </c>
      <c r="D18" s="8">
        <v>2</v>
      </c>
      <c r="E18" s="8">
        <v>14</v>
      </c>
    </row>
    <row r="19" spans="1:5" x14ac:dyDescent="0.3">
      <c r="A19" s="2">
        <v>18</v>
      </c>
      <c r="B19" s="1" t="s">
        <v>17</v>
      </c>
      <c r="C19" s="8">
        <v>4</v>
      </c>
      <c r="D19" s="8">
        <v>0</v>
      </c>
      <c r="E19" s="8">
        <v>4</v>
      </c>
    </row>
    <row r="20" spans="1:5" x14ac:dyDescent="0.3">
      <c r="A20" s="2">
        <v>19</v>
      </c>
      <c r="B20" s="1" t="s">
        <v>18</v>
      </c>
      <c r="C20" s="8">
        <v>8</v>
      </c>
      <c r="D20" s="8">
        <v>0</v>
      </c>
      <c r="E20" s="8">
        <v>8</v>
      </c>
    </row>
    <row r="21" spans="1:5" x14ac:dyDescent="0.3">
      <c r="A21" s="2">
        <v>20</v>
      </c>
      <c r="B21" s="1" t="s">
        <v>19</v>
      </c>
      <c r="C21" s="8">
        <v>20</v>
      </c>
      <c r="D21" s="8">
        <v>2</v>
      </c>
      <c r="E21" s="8">
        <v>22</v>
      </c>
    </row>
    <row r="22" spans="1:5" x14ac:dyDescent="0.3">
      <c r="A22" s="2">
        <v>21</v>
      </c>
      <c r="B22" s="1" t="s">
        <v>20</v>
      </c>
      <c r="C22" s="8">
        <v>30</v>
      </c>
      <c r="D22" s="8">
        <v>0</v>
      </c>
      <c r="E22" s="8">
        <v>30</v>
      </c>
    </row>
    <row r="23" spans="1:5" x14ac:dyDescent="0.3">
      <c r="A23" s="2">
        <v>22</v>
      </c>
      <c r="B23" s="1" t="s">
        <v>21</v>
      </c>
      <c r="C23" s="8">
        <v>1</v>
      </c>
      <c r="D23" s="8">
        <v>0</v>
      </c>
      <c r="E23" s="8">
        <v>1</v>
      </c>
    </row>
    <row r="24" spans="1:5" x14ac:dyDescent="0.3">
      <c r="A24" s="2">
        <v>23</v>
      </c>
      <c r="B24" s="1" t="s">
        <v>22</v>
      </c>
      <c r="C24" s="8">
        <v>12</v>
      </c>
      <c r="D24" s="8">
        <v>0</v>
      </c>
      <c r="E24" s="8">
        <v>12</v>
      </c>
    </row>
    <row r="25" spans="1:5" x14ac:dyDescent="0.3">
      <c r="A25" s="2">
        <v>24</v>
      </c>
      <c r="B25" s="1" t="s">
        <v>23</v>
      </c>
      <c r="C25" s="8">
        <v>7</v>
      </c>
      <c r="D25" s="8">
        <v>0</v>
      </c>
      <c r="E25" s="8">
        <v>7</v>
      </c>
    </row>
    <row r="26" spans="1:5" x14ac:dyDescent="0.3">
      <c r="A26" s="2">
        <v>25</v>
      </c>
      <c r="B26" s="1" t="s">
        <v>24</v>
      </c>
      <c r="C26" s="8">
        <v>6</v>
      </c>
      <c r="D26" s="8">
        <v>1</v>
      </c>
      <c r="E26" s="8">
        <v>7</v>
      </c>
    </row>
    <row r="27" spans="1:5" x14ac:dyDescent="0.3">
      <c r="A27" s="2">
        <v>26</v>
      </c>
      <c r="B27" s="1" t="s">
        <v>25</v>
      </c>
      <c r="C27" s="8">
        <v>18</v>
      </c>
      <c r="D27" s="8">
        <v>0</v>
      </c>
      <c r="E27" s="8">
        <v>18</v>
      </c>
    </row>
    <row r="28" spans="1:5" x14ac:dyDescent="0.3">
      <c r="A28" s="2">
        <v>27</v>
      </c>
      <c r="B28" s="1" t="s">
        <v>26</v>
      </c>
      <c r="C28" s="8">
        <v>65</v>
      </c>
      <c r="D28" s="8">
        <v>1</v>
      </c>
      <c r="E28" s="8">
        <v>66</v>
      </c>
    </row>
    <row r="29" spans="1:5" x14ac:dyDescent="0.3">
      <c r="A29" s="2">
        <v>28</v>
      </c>
      <c r="B29" s="1" t="s">
        <v>27</v>
      </c>
      <c r="C29" s="8">
        <v>6</v>
      </c>
      <c r="D29" s="8">
        <v>0</v>
      </c>
      <c r="E29" s="8">
        <v>6</v>
      </c>
    </row>
    <row r="30" spans="1:5" x14ac:dyDescent="0.3">
      <c r="A30" s="2">
        <v>29</v>
      </c>
      <c r="B30" s="1" t="s">
        <v>28</v>
      </c>
      <c r="C30" s="8">
        <v>3</v>
      </c>
      <c r="D30" s="8">
        <v>0</v>
      </c>
      <c r="E30" s="8">
        <v>3</v>
      </c>
    </row>
    <row r="31" spans="1:5" x14ac:dyDescent="0.3">
      <c r="A31" s="2">
        <v>30</v>
      </c>
      <c r="B31" s="1" t="s">
        <v>29</v>
      </c>
      <c r="C31" s="8">
        <v>2</v>
      </c>
      <c r="D31" s="8">
        <v>0</v>
      </c>
      <c r="E31" s="8">
        <v>2</v>
      </c>
    </row>
    <row r="32" spans="1:5" x14ac:dyDescent="0.3">
      <c r="A32" s="2">
        <v>31</v>
      </c>
      <c r="B32" s="1" t="s">
        <v>30</v>
      </c>
      <c r="C32" s="8">
        <v>51</v>
      </c>
      <c r="D32" s="8">
        <v>0</v>
      </c>
      <c r="E32" s="8">
        <v>51</v>
      </c>
    </row>
    <row r="33" spans="1:5" x14ac:dyDescent="0.3">
      <c r="A33" s="2">
        <v>32</v>
      </c>
      <c r="B33" s="1" t="s">
        <v>31</v>
      </c>
      <c r="C33" s="8">
        <v>6</v>
      </c>
      <c r="D33" s="8">
        <v>0</v>
      </c>
      <c r="E33" s="8">
        <v>6</v>
      </c>
    </row>
    <row r="34" spans="1:5" x14ac:dyDescent="0.3">
      <c r="A34" s="2">
        <v>33</v>
      </c>
      <c r="B34" s="1" t="s">
        <v>32</v>
      </c>
      <c r="C34" s="8">
        <v>58</v>
      </c>
      <c r="D34" s="8">
        <v>2</v>
      </c>
      <c r="E34" s="8">
        <v>60</v>
      </c>
    </row>
    <row r="35" spans="1:5" x14ac:dyDescent="0.3">
      <c r="A35" s="2">
        <v>34</v>
      </c>
      <c r="B35" s="1" t="s">
        <v>33</v>
      </c>
      <c r="C35" s="8">
        <v>311</v>
      </c>
      <c r="D35" s="8">
        <v>8</v>
      </c>
      <c r="E35" s="8">
        <v>319</v>
      </c>
    </row>
    <row r="36" spans="1:5" x14ac:dyDescent="0.3">
      <c r="A36" s="2">
        <v>35</v>
      </c>
      <c r="B36" s="1" t="s">
        <v>34</v>
      </c>
      <c r="C36" s="8">
        <v>106</v>
      </c>
      <c r="D36" s="8">
        <v>6</v>
      </c>
      <c r="E36" s="8">
        <v>112</v>
      </c>
    </row>
    <row r="37" spans="1:5" x14ac:dyDescent="0.3">
      <c r="A37" s="2">
        <v>36</v>
      </c>
      <c r="B37" s="1" t="s">
        <v>35</v>
      </c>
      <c r="C37" s="8">
        <v>2</v>
      </c>
      <c r="D37" s="8">
        <v>0</v>
      </c>
      <c r="E37" s="8">
        <v>2</v>
      </c>
    </row>
    <row r="38" spans="1:5" x14ac:dyDescent="0.3">
      <c r="A38" s="2">
        <v>37</v>
      </c>
      <c r="B38" s="1" t="s">
        <v>36</v>
      </c>
      <c r="C38" s="8">
        <v>3</v>
      </c>
      <c r="D38" s="8">
        <v>0</v>
      </c>
      <c r="E38" s="8">
        <v>3</v>
      </c>
    </row>
    <row r="39" spans="1:5" x14ac:dyDescent="0.3">
      <c r="A39" s="2">
        <v>38</v>
      </c>
      <c r="B39" s="1" t="s">
        <v>37</v>
      </c>
      <c r="C39" s="8">
        <v>33</v>
      </c>
      <c r="D39" s="8">
        <v>2</v>
      </c>
      <c r="E39" s="8">
        <v>35</v>
      </c>
    </row>
    <row r="40" spans="1:5" x14ac:dyDescent="0.3">
      <c r="A40" s="2">
        <v>39</v>
      </c>
      <c r="B40" s="1" t="s">
        <v>38</v>
      </c>
      <c r="C40" s="8">
        <v>13</v>
      </c>
      <c r="D40" s="8">
        <v>0</v>
      </c>
      <c r="E40" s="8">
        <v>13</v>
      </c>
    </row>
    <row r="41" spans="1:5" x14ac:dyDescent="0.3">
      <c r="A41" s="2">
        <v>40</v>
      </c>
      <c r="B41" s="1" t="s">
        <v>39</v>
      </c>
      <c r="C41" s="8">
        <v>4</v>
      </c>
      <c r="D41" s="8">
        <v>0</v>
      </c>
      <c r="E41" s="8">
        <v>4</v>
      </c>
    </row>
    <row r="42" spans="1:5" x14ac:dyDescent="0.3">
      <c r="A42" s="2">
        <v>41</v>
      </c>
      <c r="B42" s="1" t="s">
        <v>40</v>
      </c>
      <c r="C42" s="8">
        <v>71</v>
      </c>
      <c r="D42" s="8">
        <v>2</v>
      </c>
      <c r="E42" s="8">
        <v>73</v>
      </c>
    </row>
    <row r="43" spans="1:5" x14ac:dyDescent="0.3">
      <c r="A43" s="2">
        <v>42</v>
      </c>
      <c r="B43" s="1" t="s">
        <v>41</v>
      </c>
      <c r="C43" s="8">
        <v>53</v>
      </c>
      <c r="D43" s="8">
        <v>0</v>
      </c>
      <c r="E43" s="8">
        <v>53</v>
      </c>
    </row>
    <row r="44" spans="1:5" x14ac:dyDescent="0.3">
      <c r="A44" s="2">
        <v>43</v>
      </c>
      <c r="B44" s="1" t="s">
        <v>42</v>
      </c>
      <c r="C44" s="8">
        <v>19</v>
      </c>
      <c r="D44" s="8">
        <v>0</v>
      </c>
      <c r="E44" s="8">
        <v>19</v>
      </c>
    </row>
    <row r="45" spans="1:5" x14ac:dyDescent="0.3">
      <c r="A45" s="2">
        <v>44</v>
      </c>
      <c r="B45" s="1" t="s">
        <v>43</v>
      </c>
      <c r="C45" s="8">
        <v>20</v>
      </c>
      <c r="D45" s="8">
        <v>0</v>
      </c>
      <c r="E45" s="8">
        <v>20</v>
      </c>
    </row>
    <row r="46" spans="1:5" x14ac:dyDescent="0.3">
      <c r="A46" s="2">
        <v>45</v>
      </c>
      <c r="B46" s="1" t="s">
        <v>44</v>
      </c>
      <c r="C46" s="8">
        <v>34</v>
      </c>
      <c r="D46" s="8">
        <v>0</v>
      </c>
      <c r="E46" s="8">
        <v>34</v>
      </c>
    </row>
    <row r="47" spans="1:5" x14ac:dyDescent="0.3">
      <c r="A47" s="2">
        <v>46</v>
      </c>
      <c r="B47" s="1" t="s">
        <v>45</v>
      </c>
      <c r="C47" s="8">
        <v>29</v>
      </c>
      <c r="D47" s="8">
        <v>1</v>
      </c>
      <c r="E47" s="8">
        <v>30</v>
      </c>
    </row>
    <row r="48" spans="1:5" x14ac:dyDescent="0.3">
      <c r="A48" s="2">
        <v>47</v>
      </c>
      <c r="B48" s="1" t="s">
        <v>46</v>
      </c>
      <c r="C48" s="8">
        <v>16</v>
      </c>
      <c r="D48" s="8">
        <v>0</v>
      </c>
      <c r="E48" s="8">
        <v>16</v>
      </c>
    </row>
    <row r="49" spans="1:5" x14ac:dyDescent="0.3">
      <c r="A49" s="2">
        <v>48</v>
      </c>
      <c r="B49" s="1" t="s">
        <v>47</v>
      </c>
      <c r="C49" s="8">
        <v>28</v>
      </c>
      <c r="D49" s="8">
        <v>2</v>
      </c>
      <c r="E49" s="8">
        <v>30</v>
      </c>
    </row>
    <row r="50" spans="1:5" x14ac:dyDescent="0.3">
      <c r="A50" s="2">
        <v>49</v>
      </c>
      <c r="B50" s="1" t="s">
        <v>48</v>
      </c>
      <c r="C50" s="8">
        <v>2</v>
      </c>
      <c r="D50" s="8">
        <v>0</v>
      </c>
      <c r="E50" s="8">
        <v>2</v>
      </c>
    </row>
    <row r="51" spans="1:5" x14ac:dyDescent="0.3">
      <c r="A51" s="2">
        <v>50</v>
      </c>
      <c r="B51" s="1" t="s">
        <v>49</v>
      </c>
      <c r="C51" s="8">
        <v>5</v>
      </c>
      <c r="D51" s="8">
        <v>0</v>
      </c>
      <c r="E51" s="8">
        <v>5</v>
      </c>
    </row>
    <row r="52" spans="1:5" x14ac:dyDescent="0.3">
      <c r="A52" s="2">
        <v>51</v>
      </c>
      <c r="B52" s="1" t="s">
        <v>50</v>
      </c>
      <c r="C52" s="8">
        <v>6</v>
      </c>
      <c r="D52" s="8">
        <v>0</v>
      </c>
      <c r="E52" s="8">
        <v>6</v>
      </c>
    </row>
    <row r="53" spans="1:5" x14ac:dyDescent="0.3">
      <c r="A53" s="2">
        <v>52</v>
      </c>
      <c r="B53" s="1" t="s">
        <v>51</v>
      </c>
      <c r="C53" s="8">
        <v>5</v>
      </c>
      <c r="D53" s="8">
        <v>0</v>
      </c>
      <c r="E53" s="8">
        <v>5</v>
      </c>
    </row>
    <row r="54" spans="1:5" x14ac:dyDescent="0.3">
      <c r="A54" s="2">
        <v>53</v>
      </c>
      <c r="B54" s="1" t="s">
        <v>52</v>
      </c>
      <c r="C54" s="8">
        <v>1</v>
      </c>
      <c r="D54" s="8">
        <v>0</v>
      </c>
      <c r="E54" s="8">
        <v>1</v>
      </c>
    </row>
    <row r="55" spans="1:5" x14ac:dyDescent="0.3">
      <c r="A55" s="2">
        <v>54</v>
      </c>
      <c r="B55" s="1" t="s">
        <v>53</v>
      </c>
      <c r="C55" s="8">
        <v>17</v>
      </c>
      <c r="D55" s="8">
        <v>1</v>
      </c>
      <c r="E55" s="8">
        <v>18</v>
      </c>
    </row>
    <row r="56" spans="1:5" x14ac:dyDescent="0.3">
      <c r="A56" s="2">
        <v>55</v>
      </c>
      <c r="B56" s="1" t="s">
        <v>54</v>
      </c>
      <c r="C56" s="8">
        <v>16</v>
      </c>
      <c r="D56" s="8">
        <v>0</v>
      </c>
      <c r="E56" s="8">
        <v>16</v>
      </c>
    </row>
    <row r="57" spans="1:5" x14ac:dyDescent="0.3">
      <c r="A57" s="2">
        <v>56</v>
      </c>
      <c r="B57" s="1" t="s">
        <v>55</v>
      </c>
      <c r="C57" s="8">
        <v>1</v>
      </c>
      <c r="D57" s="8">
        <v>0</v>
      </c>
      <c r="E57" s="8">
        <v>1</v>
      </c>
    </row>
    <row r="58" spans="1:5" x14ac:dyDescent="0.3">
      <c r="A58" s="2">
        <v>57</v>
      </c>
      <c r="B58" s="1" t="s">
        <v>56</v>
      </c>
      <c r="C58" s="8">
        <v>6</v>
      </c>
      <c r="D58" s="8">
        <v>0</v>
      </c>
      <c r="E58" s="8">
        <v>6</v>
      </c>
    </row>
    <row r="59" spans="1:5" x14ac:dyDescent="0.3">
      <c r="A59" s="2">
        <v>58</v>
      </c>
      <c r="B59" s="1" t="s">
        <v>57</v>
      </c>
      <c r="C59" s="8">
        <v>14</v>
      </c>
      <c r="D59" s="8">
        <v>0</v>
      </c>
      <c r="E59" s="8">
        <v>14</v>
      </c>
    </row>
    <row r="60" spans="1:5" x14ac:dyDescent="0.3">
      <c r="A60" s="2">
        <v>59</v>
      </c>
      <c r="B60" s="1" t="s">
        <v>58</v>
      </c>
      <c r="C60" s="8">
        <v>40</v>
      </c>
      <c r="D60" s="8">
        <v>1</v>
      </c>
      <c r="E60" s="8">
        <v>41</v>
      </c>
    </row>
    <row r="61" spans="1:5" x14ac:dyDescent="0.3">
      <c r="A61" s="2">
        <v>60</v>
      </c>
      <c r="B61" s="1" t="s">
        <v>59</v>
      </c>
      <c r="C61" s="8">
        <v>10</v>
      </c>
      <c r="D61" s="8">
        <v>0</v>
      </c>
      <c r="E61" s="8">
        <v>10</v>
      </c>
    </row>
    <row r="62" spans="1:5" x14ac:dyDescent="0.3">
      <c r="A62" s="2">
        <v>61</v>
      </c>
      <c r="B62" s="1" t="s">
        <v>60</v>
      </c>
      <c r="C62" s="8">
        <v>24</v>
      </c>
      <c r="D62" s="8">
        <v>0</v>
      </c>
      <c r="E62" s="8">
        <v>24</v>
      </c>
    </row>
    <row r="63" spans="1:5" x14ac:dyDescent="0.3">
      <c r="A63" s="2">
        <v>62</v>
      </c>
      <c r="B63" s="1" t="s">
        <v>61</v>
      </c>
      <c r="C63" s="8">
        <v>1</v>
      </c>
      <c r="D63" s="8">
        <v>0</v>
      </c>
      <c r="E63" s="8">
        <v>1</v>
      </c>
    </row>
    <row r="64" spans="1:5" x14ac:dyDescent="0.3">
      <c r="A64" s="2">
        <v>63</v>
      </c>
      <c r="B64" s="1" t="s">
        <v>62</v>
      </c>
      <c r="C64" s="8">
        <v>23</v>
      </c>
      <c r="D64" s="8">
        <v>0</v>
      </c>
      <c r="E64" s="8">
        <v>23</v>
      </c>
    </row>
    <row r="65" spans="1:5" x14ac:dyDescent="0.3">
      <c r="A65" s="2">
        <v>64</v>
      </c>
      <c r="B65" s="1" t="s">
        <v>63</v>
      </c>
      <c r="C65" s="8">
        <v>6</v>
      </c>
      <c r="D65" s="8">
        <v>0</v>
      </c>
      <c r="E65" s="8">
        <v>6</v>
      </c>
    </row>
    <row r="66" spans="1:5" x14ac:dyDescent="0.3">
      <c r="A66" s="2">
        <v>65</v>
      </c>
      <c r="B66" s="1" t="s">
        <v>64</v>
      </c>
      <c r="C66" s="8">
        <v>10</v>
      </c>
      <c r="D66" s="8">
        <v>0</v>
      </c>
      <c r="E66" s="8">
        <v>10</v>
      </c>
    </row>
    <row r="67" spans="1:5" x14ac:dyDescent="0.3">
      <c r="A67" s="2">
        <v>66</v>
      </c>
      <c r="B67" s="1" t="s">
        <v>65</v>
      </c>
      <c r="C67" s="8">
        <v>7</v>
      </c>
      <c r="D67" s="8">
        <v>0</v>
      </c>
      <c r="E67" s="8">
        <v>7</v>
      </c>
    </row>
    <row r="68" spans="1:5" x14ac:dyDescent="0.3">
      <c r="A68" s="2">
        <v>67</v>
      </c>
      <c r="B68" s="1" t="s">
        <v>66</v>
      </c>
      <c r="C68" s="8">
        <v>18</v>
      </c>
      <c r="D68" s="8">
        <v>0</v>
      </c>
      <c r="E68" s="8">
        <v>18</v>
      </c>
    </row>
    <row r="69" spans="1:5" x14ac:dyDescent="0.3">
      <c r="A69" s="2">
        <v>68</v>
      </c>
      <c r="B69" s="1" t="s">
        <v>67</v>
      </c>
      <c r="C69" s="8">
        <v>11</v>
      </c>
      <c r="D69" s="8">
        <v>0</v>
      </c>
      <c r="E69" s="8">
        <v>11</v>
      </c>
    </row>
    <row r="70" spans="1:5" x14ac:dyDescent="0.3">
      <c r="A70" s="2">
        <v>69</v>
      </c>
      <c r="B70" s="1" t="s">
        <v>68</v>
      </c>
      <c r="C70" s="8">
        <v>3</v>
      </c>
      <c r="D70" s="8">
        <v>0</v>
      </c>
      <c r="E70" s="8">
        <v>3</v>
      </c>
    </row>
    <row r="71" spans="1:5" x14ac:dyDescent="0.3">
      <c r="A71" s="2">
        <v>70</v>
      </c>
      <c r="B71" s="1" t="s">
        <v>69</v>
      </c>
      <c r="C71" s="8">
        <v>3</v>
      </c>
      <c r="D71" s="8">
        <v>0</v>
      </c>
      <c r="E71" s="8">
        <v>3</v>
      </c>
    </row>
    <row r="72" spans="1:5" x14ac:dyDescent="0.3">
      <c r="A72" s="2">
        <v>71</v>
      </c>
      <c r="B72" s="1" t="s">
        <v>70</v>
      </c>
      <c r="C72" s="8">
        <v>2</v>
      </c>
      <c r="D72" s="8">
        <v>0</v>
      </c>
      <c r="E72" s="8">
        <v>2</v>
      </c>
    </row>
    <row r="73" spans="1:5" x14ac:dyDescent="0.3">
      <c r="A73" s="2">
        <v>72</v>
      </c>
      <c r="B73" s="1" t="s">
        <v>71</v>
      </c>
      <c r="C73" s="8">
        <v>10</v>
      </c>
      <c r="D73" s="8">
        <v>0</v>
      </c>
      <c r="E73" s="8">
        <v>10</v>
      </c>
    </row>
    <row r="74" spans="1:5" x14ac:dyDescent="0.3">
      <c r="A74" s="2">
        <v>73</v>
      </c>
      <c r="B74" s="1" t="s">
        <v>72</v>
      </c>
      <c r="C74" s="8">
        <v>18</v>
      </c>
      <c r="D74" s="8">
        <v>0</v>
      </c>
      <c r="E74" s="8">
        <v>18</v>
      </c>
    </row>
    <row r="75" spans="1:5" x14ac:dyDescent="0.3">
      <c r="A75" s="2">
        <v>74</v>
      </c>
      <c r="B75" s="1" t="s">
        <v>73</v>
      </c>
      <c r="C75" s="8">
        <v>8</v>
      </c>
      <c r="D75" s="8">
        <v>0</v>
      </c>
      <c r="E75" s="8">
        <v>8</v>
      </c>
    </row>
    <row r="76" spans="1:5" x14ac:dyDescent="0.3">
      <c r="A76" s="2">
        <v>75</v>
      </c>
      <c r="B76" s="1" t="s">
        <v>74</v>
      </c>
      <c r="C76" s="8">
        <v>0</v>
      </c>
      <c r="D76" s="8">
        <v>0</v>
      </c>
      <c r="E76" s="8">
        <v>0</v>
      </c>
    </row>
    <row r="77" spans="1:5" x14ac:dyDescent="0.3">
      <c r="A77" s="2">
        <v>76</v>
      </c>
      <c r="B77" s="1" t="s">
        <v>75</v>
      </c>
      <c r="C77" s="8">
        <v>3</v>
      </c>
      <c r="D77" s="8">
        <v>0</v>
      </c>
      <c r="E77" s="8">
        <v>3</v>
      </c>
    </row>
    <row r="78" spans="1:5" x14ac:dyDescent="0.3">
      <c r="A78" s="2">
        <v>77</v>
      </c>
      <c r="B78" s="1" t="s">
        <v>76</v>
      </c>
      <c r="C78" s="8">
        <v>12</v>
      </c>
      <c r="D78" s="8">
        <v>0</v>
      </c>
      <c r="E78" s="8">
        <v>12</v>
      </c>
    </row>
    <row r="79" spans="1:5" x14ac:dyDescent="0.3">
      <c r="A79" s="2">
        <v>78</v>
      </c>
      <c r="B79" s="1" t="s">
        <v>77</v>
      </c>
      <c r="C79" s="8">
        <v>4</v>
      </c>
      <c r="D79" s="8">
        <v>0</v>
      </c>
      <c r="E79" s="8">
        <v>4</v>
      </c>
    </row>
    <row r="80" spans="1:5" x14ac:dyDescent="0.3">
      <c r="A80" s="2">
        <v>79</v>
      </c>
      <c r="B80" s="1" t="s">
        <v>78</v>
      </c>
      <c r="C80" s="8">
        <v>2</v>
      </c>
      <c r="D80" s="8">
        <v>0</v>
      </c>
      <c r="E80" s="8">
        <v>2</v>
      </c>
    </row>
    <row r="81" spans="1:5" x14ac:dyDescent="0.3">
      <c r="A81" s="2">
        <v>80</v>
      </c>
      <c r="B81" s="1" t="s">
        <v>79</v>
      </c>
      <c r="C81" s="8">
        <v>18</v>
      </c>
      <c r="D81" s="8">
        <v>0</v>
      </c>
      <c r="E81" s="8">
        <v>18</v>
      </c>
    </row>
    <row r="82" spans="1:5" x14ac:dyDescent="0.3">
      <c r="A82" s="2">
        <v>81</v>
      </c>
      <c r="B82" s="1" t="s">
        <v>80</v>
      </c>
      <c r="C82" s="8">
        <v>13</v>
      </c>
      <c r="D82" s="8">
        <v>0</v>
      </c>
      <c r="E82" s="8">
        <v>13</v>
      </c>
    </row>
    <row r="83" spans="1:5" x14ac:dyDescent="0.3">
      <c r="C83" s="8">
        <f>SUM(C2:C82)</f>
        <v>1851</v>
      </c>
      <c r="D83" s="8">
        <f>--SUM(D2:D82)</f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F17C-8DDD-4AEC-99A5-D555AF8C18FD}">
  <dimension ref="A1:C68"/>
  <sheetViews>
    <sheetView topLeftCell="A52" workbookViewId="0">
      <selection activeCell="B69" sqref="B69"/>
    </sheetView>
  </sheetViews>
  <sheetFormatPr defaultRowHeight="14.4" x14ac:dyDescent="0.3"/>
  <sheetData>
    <row r="1" spans="1:3" x14ac:dyDescent="0.3">
      <c r="A1" t="s">
        <v>86</v>
      </c>
      <c r="B1" t="s">
        <v>83</v>
      </c>
      <c r="C1" t="s">
        <v>84</v>
      </c>
    </row>
    <row r="2" spans="1:3" x14ac:dyDescent="0.3">
      <c r="A2" s="6">
        <v>14</v>
      </c>
      <c r="B2">
        <v>1</v>
      </c>
      <c r="C2">
        <v>0</v>
      </c>
    </row>
    <row r="3" spans="1:3" x14ac:dyDescent="0.3">
      <c r="A3" s="3">
        <f>+A2+1</f>
        <v>15</v>
      </c>
      <c r="B3">
        <v>4</v>
      </c>
      <c r="C3">
        <v>0</v>
      </c>
    </row>
    <row r="4" spans="1:3" x14ac:dyDescent="0.3">
      <c r="A4" s="3">
        <f>+A3+1</f>
        <v>16</v>
      </c>
      <c r="B4">
        <v>2</v>
      </c>
      <c r="C4">
        <v>0</v>
      </c>
    </row>
    <row r="5" spans="1:3" x14ac:dyDescent="0.3">
      <c r="A5" s="3">
        <f>+A4+1</f>
        <v>17</v>
      </c>
      <c r="B5">
        <v>3</v>
      </c>
      <c r="C5">
        <v>1</v>
      </c>
    </row>
    <row r="6" spans="1:3" x14ac:dyDescent="0.3">
      <c r="A6" s="4">
        <f t="shared" ref="A6:A67" si="0">+A5+1</f>
        <v>18</v>
      </c>
      <c r="B6">
        <v>13</v>
      </c>
      <c r="C6">
        <v>1</v>
      </c>
    </row>
    <row r="7" spans="1:3" x14ac:dyDescent="0.3">
      <c r="A7" s="4">
        <f t="shared" si="0"/>
        <v>19</v>
      </c>
      <c r="B7">
        <v>15</v>
      </c>
      <c r="C7">
        <v>1</v>
      </c>
    </row>
    <row r="8" spans="1:3" x14ac:dyDescent="0.3">
      <c r="A8" s="4">
        <f t="shared" si="0"/>
        <v>20</v>
      </c>
      <c r="B8">
        <v>20</v>
      </c>
      <c r="C8">
        <v>0</v>
      </c>
    </row>
    <row r="9" spans="1:3" x14ac:dyDescent="0.3">
      <c r="A9" s="4">
        <f t="shared" si="0"/>
        <v>21</v>
      </c>
      <c r="B9">
        <v>24</v>
      </c>
      <c r="C9">
        <v>1</v>
      </c>
    </row>
    <row r="10" spans="1:3" x14ac:dyDescent="0.3">
      <c r="A10" s="4">
        <f t="shared" si="0"/>
        <v>22</v>
      </c>
      <c r="B10">
        <v>15</v>
      </c>
      <c r="C10">
        <v>0</v>
      </c>
    </row>
    <row r="11" spans="1:3" x14ac:dyDescent="0.3">
      <c r="A11" s="4">
        <f t="shared" si="0"/>
        <v>23</v>
      </c>
      <c r="B11">
        <v>22</v>
      </c>
      <c r="C11">
        <v>1</v>
      </c>
    </row>
    <row r="12" spans="1:3" x14ac:dyDescent="0.3">
      <c r="A12" s="4">
        <f t="shared" si="0"/>
        <v>24</v>
      </c>
      <c r="B12">
        <v>24</v>
      </c>
      <c r="C12">
        <v>1</v>
      </c>
    </row>
    <row r="13" spans="1:3" x14ac:dyDescent="0.3">
      <c r="A13" s="4">
        <f t="shared" si="0"/>
        <v>25</v>
      </c>
      <c r="B13">
        <v>22</v>
      </c>
      <c r="C13">
        <v>2</v>
      </c>
    </row>
    <row r="14" spans="1:3" x14ac:dyDescent="0.3">
      <c r="A14" s="4">
        <f t="shared" si="0"/>
        <v>26</v>
      </c>
      <c r="B14">
        <v>36</v>
      </c>
      <c r="C14">
        <v>1</v>
      </c>
    </row>
    <row r="15" spans="1:3" x14ac:dyDescent="0.3">
      <c r="A15" s="4">
        <f t="shared" si="0"/>
        <v>27</v>
      </c>
      <c r="B15">
        <v>35</v>
      </c>
      <c r="C15">
        <v>3</v>
      </c>
    </row>
    <row r="16" spans="1:3" x14ac:dyDescent="0.3">
      <c r="A16" s="4">
        <f t="shared" si="0"/>
        <v>28</v>
      </c>
      <c r="B16">
        <v>22</v>
      </c>
      <c r="C16">
        <v>0</v>
      </c>
    </row>
    <row r="17" spans="1:3" x14ac:dyDescent="0.3">
      <c r="A17" s="4">
        <f t="shared" si="0"/>
        <v>29</v>
      </c>
      <c r="B17">
        <v>35</v>
      </c>
      <c r="C17">
        <v>0</v>
      </c>
    </row>
    <row r="18" spans="1:3" x14ac:dyDescent="0.3">
      <c r="A18" s="4">
        <f t="shared" si="0"/>
        <v>30</v>
      </c>
      <c r="B18">
        <v>38</v>
      </c>
      <c r="C18">
        <v>0</v>
      </c>
    </row>
    <row r="19" spans="1:3" x14ac:dyDescent="0.3">
      <c r="A19" s="4">
        <f t="shared" si="0"/>
        <v>31</v>
      </c>
      <c r="B19">
        <v>24</v>
      </c>
      <c r="C19">
        <v>1</v>
      </c>
    </row>
    <row r="20" spans="1:3" x14ac:dyDescent="0.3">
      <c r="A20" s="4">
        <f t="shared" si="0"/>
        <v>32</v>
      </c>
      <c r="B20">
        <v>29</v>
      </c>
      <c r="C20">
        <v>1</v>
      </c>
    </row>
    <row r="21" spans="1:3" x14ac:dyDescent="0.3">
      <c r="A21" s="4">
        <f t="shared" si="0"/>
        <v>33</v>
      </c>
      <c r="B21">
        <v>27</v>
      </c>
      <c r="C21">
        <v>1</v>
      </c>
    </row>
    <row r="22" spans="1:3" x14ac:dyDescent="0.3">
      <c r="A22" s="4">
        <f t="shared" si="0"/>
        <v>34</v>
      </c>
      <c r="B22">
        <v>31</v>
      </c>
      <c r="C22">
        <v>2</v>
      </c>
    </row>
    <row r="23" spans="1:3" x14ac:dyDescent="0.3">
      <c r="A23" s="4">
        <f t="shared" si="0"/>
        <v>35</v>
      </c>
      <c r="B23">
        <v>36</v>
      </c>
      <c r="C23">
        <v>5</v>
      </c>
    </row>
    <row r="24" spans="1:3" x14ac:dyDescent="0.3">
      <c r="A24" s="4">
        <f t="shared" si="0"/>
        <v>36</v>
      </c>
      <c r="B24">
        <v>34</v>
      </c>
      <c r="C24">
        <v>1</v>
      </c>
    </row>
    <row r="25" spans="1:3" x14ac:dyDescent="0.3">
      <c r="A25" s="4">
        <f t="shared" si="0"/>
        <v>37</v>
      </c>
      <c r="B25">
        <v>30</v>
      </c>
      <c r="C25">
        <v>1</v>
      </c>
    </row>
    <row r="26" spans="1:3" x14ac:dyDescent="0.3">
      <c r="A26" s="4">
        <f t="shared" si="0"/>
        <v>38</v>
      </c>
      <c r="B26">
        <v>41</v>
      </c>
      <c r="C26">
        <v>1</v>
      </c>
    </row>
    <row r="27" spans="1:3" x14ac:dyDescent="0.3">
      <c r="A27" s="4">
        <f t="shared" si="0"/>
        <v>39</v>
      </c>
      <c r="B27">
        <v>44</v>
      </c>
      <c r="C27">
        <v>1</v>
      </c>
    </row>
    <row r="28" spans="1:3" x14ac:dyDescent="0.3">
      <c r="A28" s="4">
        <f t="shared" si="0"/>
        <v>40</v>
      </c>
      <c r="B28">
        <v>46</v>
      </c>
      <c r="C28">
        <v>0</v>
      </c>
    </row>
    <row r="29" spans="1:3" x14ac:dyDescent="0.3">
      <c r="A29" s="4">
        <f t="shared" si="0"/>
        <v>41</v>
      </c>
      <c r="B29">
        <v>54</v>
      </c>
      <c r="C29">
        <v>3</v>
      </c>
    </row>
    <row r="30" spans="1:3" x14ac:dyDescent="0.3">
      <c r="A30" s="4">
        <f t="shared" si="0"/>
        <v>42</v>
      </c>
      <c r="B30">
        <v>49</v>
      </c>
      <c r="C30">
        <v>1</v>
      </c>
    </row>
    <row r="31" spans="1:3" x14ac:dyDescent="0.3">
      <c r="A31" s="4">
        <f t="shared" si="0"/>
        <v>43</v>
      </c>
      <c r="B31">
        <v>59</v>
      </c>
      <c r="C31">
        <v>3</v>
      </c>
    </row>
    <row r="32" spans="1:3" x14ac:dyDescent="0.3">
      <c r="A32" s="4">
        <f t="shared" si="0"/>
        <v>44</v>
      </c>
      <c r="B32">
        <v>42</v>
      </c>
      <c r="C32">
        <v>0</v>
      </c>
    </row>
    <row r="33" spans="1:3" x14ac:dyDescent="0.3">
      <c r="A33" s="4">
        <f t="shared" si="0"/>
        <v>45</v>
      </c>
      <c r="B33">
        <v>52</v>
      </c>
      <c r="C33">
        <v>6</v>
      </c>
    </row>
    <row r="34" spans="1:3" x14ac:dyDescent="0.3">
      <c r="A34" s="4">
        <f t="shared" si="0"/>
        <v>46</v>
      </c>
      <c r="B34">
        <v>46</v>
      </c>
      <c r="C34">
        <v>1</v>
      </c>
    </row>
    <row r="35" spans="1:3" x14ac:dyDescent="0.3">
      <c r="A35" s="4">
        <f t="shared" si="0"/>
        <v>47</v>
      </c>
      <c r="B35">
        <v>57</v>
      </c>
      <c r="C35">
        <v>1</v>
      </c>
    </row>
    <row r="36" spans="1:3" x14ac:dyDescent="0.3">
      <c r="A36" s="4">
        <f t="shared" si="0"/>
        <v>48</v>
      </c>
      <c r="B36">
        <v>55</v>
      </c>
      <c r="C36">
        <v>1</v>
      </c>
    </row>
    <row r="37" spans="1:3" x14ac:dyDescent="0.3">
      <c r="A37" s="4">
        <f t="shared" si="0"/>
        <v>49</v>
      </c>
      <c r="B37">
        <v>41</v>
      </c>
      <c r="C37">
        <v>2</v>
      </c>
    </row>
    <row r="38" spans="1:3" x14ac:dyDescent="0.3">
      <c r="A38" s="4">
        <f t="shared" si="0"/>
        <v>50</v>
      </c>
      <c r="B38">
        <v>62</v>
      </c>
      <c r="C38">
        <v>1</v>
      </c>
    </row>
    <row r="39" spans="1:3" x14ac:dyDescent="0.3">
      <c r="A39" s="4">
        <f t="shared" si="0"/>
        <v>51</v>
      </c>
      <c r="B39">
        <v>45</v>
      </c>
      <c r="C39">
        <v>1</v>
      </c>
    </row>
    <row r="40" spans="1:3" x14ac:dyDescent="0.3">
      <c r="A40" s="4">
        <f t="shared" si="0"/>
        <v>52</v>
      </c>
      <c r="B40">
        <v>61</v>
      </c>
      <c r="C40">
        <v>1</v>
      </c>
    </row>
    <row r="41" spans="1:3" x14ac:dyDescent="0.3">
      <c r="A41" s="4">
        <f t="shared" si="0"/>
        <v>53</v>
      </c>
      <c r="B41">
        <v>56</v>
      </c>
      <c r="C41">
        <v>3</v>
      </c>
    </row>
    <row r="42" spans="1:3" x14ac:dyDescent="0.3">
      <c r="A42" s="4">
        <f t="shared" si="0"/>
        <v>54</v>
      </c>
      <c r="B42">
        <v>50</v>
      </c>
      <c r="C42">
        <v>0</v>
      </c>
    </row>
    <row r="43" spans="1:3" x14ac:dyDescent="0.3">
      <c r="A43" s="4">
        <f t="shared" si="0"/>
        <v>55</v>
      </c>
      <c r="B43">
        <v>57</v>
      </c>
      <c r="C43">
        <v>0</v>
      </c>
    </row>
    <row r="44" spans="1:3" x14ac:dyDescent="0.3">
      <c r="A44" s="4">
        <f t="shared" si="0"/>
        <v>56</v>
      </c>
      <c r="B44">
        <v>39</v>
      </c>
      <c r="C44">
        <v>0</v>
      </c>
    </row>
    <row r="45" spans="1:3" x14ac:dyDescent="0.3">
      <c r="A45" s="4">
        <f t="shared" si="0"/>
        <v>57</v>
      </c>
      <c r="B45">
        <v>33</v>
      </c>
      <c r="C45">
        <v>0</v>
      </c>
    </row>
    <row r="46" spans="1:3" x14ac:dyDescent="0.3">
      <c r="A46" s="4">
        <f t="shared" si="0"/>
        <v>58</v>
      </c>
      <c r="B46">
        <v>47</v>
      </c>
      <c r="C46">
        <v>0</v>
      </c>
    </row>
    <row r="47" spans="1:3" x14ac:dyDescent="0.3">
      <c r="A47" s="4">
        <f t="shared" si="0"/>
        <v>59</v>
      </c>
      <c r="B47">
        <v>39</v>
      </c>
      <c r="C47">
        <v>1</v>
      </c>
    </row>
    <row r="48" spans="1:3" x14ac:dyDescent="0.3">
      <c r="A48" s="4">
        <f t="shared" si="0"/>
        <v>60</v>
      </c>
      <c r="B48">
        <v>42</v>
      </c>
      <c r="C48">
        <v>1</v>
      </c>
    </row>
    <row r="49" spans="1:3" x14ac:dyDescent="0.3">
      <c r="A49" s="4">
        <f t="shared" si="0"/>
        <v>61</v>
      </c>
      <c r="B49">
        <v>34</v>
      </c>
      <c r="C49">
        <v>0</v>
      </c>
    </row>
    <row r="50" spans="1:3" x14ac:dyDescent="0.3">
      <c r="A50" s="4">
        <f t="shared" si="0"/>
        <v>62</v>
      </c>
      <c r="B50">
        <v>26</v>
      </c>
      <c r="C50">
        <v>0</v>
      </c>
    </row>
    <row r="51" spans="1:3" x14ac:dyDescent="0.3">
      <c r="A51" s="4">
        <f t="shared" si="0"/>
        <v>63</v>
      </c>
      <c r="B51">
        <v>30</v>
      </c>
      <c r="C51">
        <v>1</v>
      </c>
    </row>
    <row r="52" spans="1:3" x14ac:dyDescent="0.3">
      <c r="A52" s="4">
        <f t="shared" si="0"/>
        <v>64</v>
      </c>
      <c r="B52">
        <v>23</v>
      </c>
      <c r="C52">
        <v>1</v>
      </c>
    </row>
    <row r="53" spans="1:3" x14ac:dyDescent="0.3">
      <c r="A53" s="4">
        <f t="shared" si="0"/>
        <v>65</v>
      </c>
      <c r="B53">
        <v>19</v>
      </c>
      <c r="C53">
        <v>0</v>
      </c>
    </row>
    <row r="54" spans="1:3" x14ac:dyDescent="0.3">
      <c r="A54" s="4">
        <f t="shared" si="0"/>
        <v>66</v>
      </c>
      <c r="B54">
        <v>16</v>
      </c>
      <c r="C54">
        <v>0</v>
      </c>
    </row>
    <row r="55" spans="1:3" x14ac:dyDescent="0.3">
      <c r="A55" s="4">
        <f t="shared" si="0"/>
        <v>67</v>
      </c>
      <c r="B55">
        <v>13</v>
      </c>
      <c r="C55">
        <v>0</v>
      </c>
    </row>
    <row r="56" spans="1:3" x14ac:dyDescent="0.3">
      <c r="A56" s="4">
        <f t="shared" si="0"/>
        <v>68</v>
      </c>
      <c r="B56">
        <v>15</v>
      </c>
      <c r="C56">
        <v>0</v>
      </c>
    </row>
    <row r="57" spans="1:3" x14ac:dyDescent="0.3">
      <c r="A57" s="4">
        <f t="shared" si="0"/>
        <v>69</v>
      </c>
      <c r="B57">
        <v>4</v>
      </c>
      <c r="C57">
        <v>0</v>
      </c>
    </row>
    <row r="58" spans="1:3" x14ac:dyDescent="0.3">
      <c r="A58" s="4">
        <f t="shared" si="0"/>
        <v>70</v>
      </c>
      <c r="B58">
        <v>4</v>
      </c>
      <c r="C58">
        <v>0</v>
      </c>
    </row>
    <row r="59" spans="1:3" x14ac:dyDescent="0.3">
      <c r="A59" s="4">
        <f t="shared" si="0"/>
        <v>71</v>
      </c>
      <c r="B59">
        <v>3</v>
      </c>
      <c r="C59">
        <v>0</v>
      </c>
    </row>
    <row r="60" spans="1:3" x14ac:dyDescent="0.3">
      <c r="A60" s="4">
        <f t="shared" si="0"/>
        <v>72</v>
      </c>
      <c r="B60">
        <v>1</v>
      </c>
      <c r="C60">
        <v>0</v>
      </c>
    </row>
    <row r="61" spans="1:3" x14ac:dyDescent="0.3">
      <c r="A61" s="4">
        <f t="shared" si="0"/>
        <v>73</v>
      </c>
      <c r="B61">
        <v>0</v>
      </c>
      <c r="C61">
        <v>0</v>
      </c>
    </row>
    <row r="62" spans="1:3" x14ac:dyDescent="0.3">
      <c r="A62" s="4">
        <f t="shared" si="0"/>
        <v>74</v>
      </c>
      <c r="B62">
        <v>1</v>
      </c>
      <c r="C62">
        <v>0</v>
      </c>
    </row>
    <row r="63" spans="1:3" x14ac:dyDescent="0.3">
      <c r="A63" s="4">
        <f t="shared" si="0"/>
        <v>75</v>
      </c>
      <c r="B63">
        <v>2</v>
      </c>
      <c r="C63">
        <v>0</v>
      </c>
    </row>
    <row r="64" spans="1:3" x14ac:dyDescent="0.3">
      <c r="A64" s="4">
        <f t="shared" si="0"/>
        <v>76</v>
      </c>
      <c r="B64">
        <v>0</v>
      </c>
      <c r="C64">
        <v>0</v>
      </c>
    </row>
    <row r="65" spans="1:3" x14ac:dyDescent="0.3">
      <c r="A65" s="4">
        <f t="shared" si="0"/>
        <v>77</v>
      </c>
      <c r="B65">
        <v>0</v>
      </c>
      <c r="C65">
        <v>0</v>
      </c>
    </row>
    <row r="66" spans="1:3" x14ac:dyDescent="0.3">
      <c r="A66" s="4">
        <f t="shared" si="0"/>
        <v>78</v>
      </c>
      <c r="B66">
        <v>0</v>
      </c>
      <c r="C66">
        <v>0</v>
      </c>
    </row>
    <row r="67" spans="1:3" x14ac:dyDescent="0.3">
      <c r="A67" s="4">
        <f t="shared" si="0"/>
        <v>79</v>
      </c>
      <c r="B67">
        <v>1</v>
      </c>
      <c r="C67">
        <v>0</v>
      </c>
    </row>
    <row r="68" spans="1:3" ht="52.8" x14ac:dyDescent="0.3">
      <c r="A68" s="5" t="s">
        <v>85</v>
      </c>
      <c r="B68">
        <v>0</v>
      </c>
      <c r="C6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F5637-0C44-40B0-91A4-4E92A97A90EC}">
  <dimension ref="A1:D13"/>
  <sheetViews>
    <sheetView workbookViewId="0">
      <selection activeCell="C1" sqref="C1:C1048576"/>
    </sheetView>
  </sheetViews>
  <sheetFormatPr defaultRowHeight="14.4" x14ac:dyDescent="0.3"/>
  <sheetData>
    <row r="1" spans="1:4" x14ac:dyDescent="0.3">
      <c r="A1" t="s">
        <v>87</v>
      </c>
      <c r="B1" t="s">
        <v>100</v>
      </c>
      <c r="C1" t="s">
        <v>83</v>
      </c>
      <c r="D1" t="s">
        <v>84</v>
      </c>
    </row>
    <row r="2" spans="1:4" x14ac:dyDescent="0.3">
      <c r="A2" s="7">
        <v>1</v>
      </c>
      <c r="B2" t="s">
        <v>88</v>
      </c>
      <c r="C2" s="8">
        <v>159</v>
      </c>
      <c r="D2" s="8">
        <v>3</v>
      </c>
    </row>
    <row r="3" spans="1:4" x14ac:dyDescent="0.3">
      <c r="A3" s="7">
        <v>2</v>
      </c>
      <c r="B3" t="s">
        <v>89</v>
      </c>
      <c r="C3" s="8">
        <v>164</v>
      </c>
      <c r="D3" s="8">
        <v>2</v>
      </c>
    </row>
    <row r="4" spans="1:4" x14ac:dyDescent="0.3">
      <c r="A4" s="7">
        <v>3</v>
      </c>
      <c r="B4" t="s">
        <v>90</v>
      </c>
      <c r="C4" s="8">
        <v>144</v>
      </c>
      <c r="D4" s="8">
        <v>3</v>
      </c>
    </row>
    <row r="5" spans="1:4" x14ac:dyDescent="0.3">
      <c r="A5" s="7">
        <v>4</v>
      </c>
      <c r="B5" t="s">
        <v>91</v>
      </c>
      <c r="C5" s="8">
        <v>132</v>
      </c>
      <c r="D5" s="8">
        <v>2</v>
      </c>
    </row>
    <row r="6" spans="1:4" x14ac:dyDescent="0.3">
      <c r="A6" s="7">
        <v>5</v>
      </c>
      <c r="B6" t="s">
        <v>92</v>
      </c>
      <c r="C6" s="8">
        <v>171</v>
      </c>
      <c r="D6" s="8">
        <v>3</v>
      </c>
    </row>
    <row r="7" spans="1:4" x14ac:dyDescent="0.3">
      <c r="A7" s="7">
        <v>6</v>
      </c>
      <c r="B7" t="s">
        <v>93</v>
      </c>
      <c r="C7" s="8">
        <v>135</v>
      </c>
      <c r="D7" s="8">
        <v>1</v>
      </c>
    </row>
    <row r="8" spans="1:4" x14ac:dyDescent="0.3">
      <c r="A8" s="7">
        <v>7</v>
      </c>
      <c r="B8" t="s">
        <v>94</v>
      </c>
      <c r="C8" s="8">
        <v>166</v>
      </c>
      <c r="D8" s="8">
        <v>3</v>
      </c>
    </row>
    <row r="9" spans="1:4" x14ac:dyDescent="0.3">
      <c r="A9" s="7">
        <v>8</v>
      </c>
      <c r="B9" t="s">
        <v>95</v>
      </c>
      <c r="C9" s="8">
        <v>162</v>
      </c>
      <c r="D9" s="8">
        <v>2</v>
      </c>
    </row>
    <row r="10" spans="1:4" x14ac:dyDescent="0.3">
      <c r="A10" s="7">
        <v>9</v>
      </c>
      <c r="B10" t="s">
        <v>96</v>
      </c>
      <c r="C10" s="8">
        <v>166</v>
      </c>
      <c r="D10" s="8">
        <v>7</v>
      </c>
    </row>
    <row r="11" spans="1:4" x14ac:dyDescent="0.3">
      <c r="A11" s="7">
        <v>10</v>
      </c>
      <c r="B11" t="s">
        <v>97</v>
      </c>
      <c r="C11" s="8">
        <v>148</v>
      </c>
      <c r="D11" s="8">
        <v>8</v>
      </c>
    </row>
    <row r="12" spans="1:4" x14ac:dyDescent="0.3">
      <c r="A12" s="7">
        <v>11</v>
      </c>
      <c r="B12" t="s">
        <v>98</v>
      </c>
      <c r="C12" s="8">
        <v>155</v>
      </c>
      <c r="D12" s="8">
        <v>5</v>
      </c>
    </row>
    <row r="13" spans="1:4" x14ac:dyDescent="0.3">
      <c r="A13" s="7">
        <v>12</v>
      </c>
      <c r="B13" t="s">
        <v>99</v>
      </c>
      <c r="C13" s="8">
        <v>149</v>
      </c>
      <c r="D13" s="8">
        <v>15</v>
      </c>
    </row>
  </sheetData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F69E7-79EB-4526-899D-E828144D289C}">
  <dimension ref="A1:D89"/>
  <sheetViews>
    <sheetView workbookViewId="0">
      <selection activeCell="B2" sqref="B2"/>
    </sheetView>
  </sheetViews>
  <sheetFormatPr defaultRowHeight="14.4" x14ac:dyDescent="0.3"/>
  <cols>
    <col min="1" max="1" width="113.88671875" bestFit="1" customWidth="1"/>
    <col min="6" max="6" width="21.5546875" bestFit="1" customWidth="1"/>
  </cols>
  <sheetData>
    <row r="1" spans="1:4" x14ac:dyDescent="0.3">
      <c r="A1" t="s">
        <v>191</v>
      </c>
      <c r="B1" t="s">
        <v>83</v>
      </c>
      <c r="C1" t="s">
        <v>84</v>
      </c>
      <c r="D1" t="s">
        <v>192</v>
      </c>
    </row>
    <row r="2" spans="1:4" x14ac:dyDescent="0.3">
      <c r="A2" t="s">
        <v>123</v>
      </c>
      <c r="B2">
        <v>21</v>
      </c>
      <c r="C2">
        <v>1</v>
      </c>
      <c r="D2">
        <v>22</v>
      </c>
    </row>
    <row r="3" spans="1:4" x14ac:dyDescent="0.3">
      <c r="A3" t="s">
        <v>138</v>
      </c>
      <c r="B3">
        <v>9</v>
      </c>
      <c r="C3">
        <v>0</v>
      </c>
      <c r="D3">
        <v>9</v>
      </c>
    </row>
    <row r="4" spans="1:4" x14ac:dyDescent="0.3">
      <c r="A4" t="s">
        <v>142</v>
      </c>
      <c r="B4">
        <v>6</v>
      </c>
      <c r="C4">
        <v>0</v>
      </c>
      <c r="D4">
        <v>6</v>
      </c>
    </row>
    <row r="5" spans="1:4" x14ac:dyDescent="0.3">
      <c r="A5" t="s">
        <v>126</v>
      </c>
      <c r="B5">
        <v>20</v>
      </c>
      <c r="C5">
        <v>0</v>
      </c>
      <c r="D5">
        <v>20</v>
      </c>
    </row>
    <row r="6" spans="1:4" x14ac:dyDescent="0.3">
      <c r="A6" t="s">
        <v>170</v>
      </c>
      <c r="B6">
        <v>0</v>
      </c>
      <c r="C6">
        <v>0</v>
      </c>
      <c r="D6">
        <v>0</v>
      </c>
    </row>
    <row r="7" spans="1:4" x14ac:dyDescent="0.3">
      <c r="A7" t="s">
        <v>132</v>
      </c>
      <c r="B7">
        <v>13</v>
      </c>
      <c r="C7">
        <v>0</v>
      </c>
      <c r="D7">
        <v>13</v>
      </c>
    </row>
    <row r="8" spans="1:4" x14ac:dyDescent="0.3">
      <c r="A8" t="s">
        <v>114</v>
      </c>
      <c r="B8">
        <v>34</v>
      </c>
      <c r="C8">
        <v>0</v>
      </c>
      <c r="D8">
        <v>34</v>
      </c>
    </row>
    <row r="9" spans="1:4" x14ac:dyDescent="0.3">
      <c r="A9" t="s">
        <v>152</v>
      </c>
      <c r="B9">
        <v>3</v>
      </c>
      <c r="C9">
        <v>0</v>
      </c>
      <c r="D9">
        <v>3</v>
      </c>
    </row>
    <row r="10" spans="1:4" x14ac:dyDescent="0.3">
      <c r="A10" t="s">
        <v>106</v>
      </c>
      <c r="B10">
        <v>57</v>
      </c>
      <c r="C10">
        <v>5</v>
      </c>
      <c r="D10">
        <v>62</v>
      </c>
    </row>
    <row r="11" spans="1:4" x14ac:dyDescent="0.3">
      <c r="A11" t="s">
        <v>153</v>
      </c>
      <c r="B11">
        <v>3</v>
      </c>
      <c r="C11">
        <v>0</v>
      </c>
      <c r="D11">
        <v>3</v>
      </c>
    </row>
    <row r="12" spans="1:4" x14ac:dyDescent="0.3">
      <c r="A12" t="s">
        <v>171</v>
      </c>
      <c r="B12">
        <v>0</v>
      </c>
      <c r="C12">
        <v>0</v>
      </c>
      <c r="D12">
        <v>0</v>
      </c>
    </row>
    <row r="13" spans="1:4" x14ac:dyDescent="0.3">
      <c r="A13" t="s">
        <v>113</v>
      </c>
      <c r="B13">
        <v>34</v>
      </c>
      <c r="C13">
        <v>1</v>
      </c>
      <c r="D13">
        <v>35</v>
      </c>
    </row>
    <row r="14" spans="1:4" x14ac:dyDescent="0.3">
      <c r="A14" t="s">
        <v>130</v>
      </c>
      <c r="B14">
        <v>11</v>
      </c>
      <c r="C14">
        <v>3</v>
      </c>
      <c r="D14">
        <v>14</v>
      </c>
    </row>
    <row r="15" spans="1:4" x14ac:dyDescent="0.3">
      <c r="A15" t="s">
        <v>140</v>
      </c>
      <c r="B15">
        <v>7</v>
      </c>
      <c r="C15">
        <v>0</v>
      </c>
      <c r="D15">
        <v>7</v>
      </c>
    </row>
    <row r="16" spans="1:4" x14ac:dyDescent="0.3">
      <c r="A16" t="s">
        <v>121</v>
      </c>
      <c r="B16">
        <v>23</v>
      </c>
      <c r="C16">
        <v>0</v>
      </c>
      <c r="D16">
        <v>23</v>
      </c>
    </row>
    <row r="17" spans="1:4" x14ac:dyDescent="0.3">
      <c r="A17" t="s">
        <v>143</v>
      </c>
      <c r="B17">
        <v>6</v>
      </c>
      <c r="C17">
        <v>0</v>
      </c>
      <c r="D17">
        <v>6</v>
      </c>
    </row>
    <row r="18" spans="1:4" x14ac:dyDescent="0.3">
      <c r="A18" t="s">
        <v>154</v>
      </c>
      <c r="B18">
        <v>3</v>
      </c>
      <c r="C18">
        <v>0</v>
      </c>
      <c r="D18">
        <v>3</v>
      </c>
    </row>
    <row r="19" spans="1:4" x14ac:dyDescent="0.3">
      <c r="A19" t="s">
        <v>163</v>
      </c>
      <c r="B19">
        <v>1</v>
      </c>
      <c r="C19">
        <v>0</v>
      </c>
      <c r="D19">
        <v>1</v>
      </c>
    </row>
    <row r="20" spans="1:4" x14ac:dyDescent="0.3">
      <c r="A20" t="s">
        <v>135</v>
      </c>
      <c r="B20">
        <v>11</v>
      </c>
      <c r="C20">
        <v>0</v>
      </c>
      <c r="D20">
        <v>11</v>
      </c>
    </row>
    <row r="21" spans="1:4" x14ac:dyDescent="0.3">
      <c r="A21" t="s">
        <v>155</v>
      </c>
      <c r="B21">
        <v>3</v>
      </c>
      <c r="C21">
        <v>0</v>
      </c>
      <c r="D21">
        <v>3</v>
      </c>
    </row>
    <row r="22" spans="1:4" x14ac:dyDescent="0.3">
      <c r="A22" t="s">
        <v>115</v>
      </c>
      <c r="B22">
        <v>34</v>
      </c>
      <c r="C22">
        <v>0</v>
      </c>
      <c r="D22">
        <v>34</v>
      </c>
    </row>
    <row r="23" spans="1:4" x14ac:dyDescent="0.3">
      <c r="A23" t="s">
        <v>107</v>
      </c>
      <c r="B23">
        <v>59</v>
      </c>
      <c r="C23">
        <v>0</v>
      </c>
      <c r="D23">
        <v>59</v>
      </c>
    </row>
    <row r="24" spans="1:4" x14ac:dyDescent="0.3">
      <c r="A24" t="s">
        <v>119</v>
      </c>
      <c r="B24">
        <v>24</v>
      </c>
      <c r="C24">
        <v>0</v>
      </c>
      <c r="D24">
        <v>24</v>
      </c>
    </row>
    <row r="25" spans="1:4" x14ac:dyDescent="0.3">
      <c r="A25" t="s">
        <v>105</v>
      </c>
      <c r="B25">
        <v>53</v>
      </c>
      <c r="C25">
        <v>10</v>
      </c>
      <c r="D25">
        <v>63</v>
      </c>
    </row>
    <row r="26" spans="1:4" x14ac:dyDescent="0.3">
      <c r="A26" t="s">
        <v>159</v>
      </c>
      <c r="B26">
        <v>2</v>
      </c>
      <c r="C26">
        <v>0</v>
      </c>
      <c r="D26">
        <v>2</v>
      </c>
    </row>
    <row r="27" spans="1:4" x14ac:dyDescent="0.3">
      <c r="A27" t="s">
        <v>131</v>
      </c>
      <c r="B27">
        <v>14</v>
      </c>
      <c r="C27">
        <v>0</v>
      </c>
      <c r="D27">
        <v>14</v>
      </c>
    </row>
    <row r="28" spans="1:4" x14ac:dyDescent="0.3">
      <c r="A28" t="s">
        <v>117</v>
      </c>
      <c r="B28">
        <v>27</v>
      </c>
      <c r="C28">
        <v>0</v>
      </c>
      <c r="D28">
        <v>27</v>
      </c>
    </row>
    <row r="29" spans="1:4" x14ac:dyDescent="0.3">
      <c r="A29" t="s">
        <v>134</v>
      </c>
      <c r="B29">
        <v>12</v>
      </c>
      <c r="C29">
        <v>0</v>
      </c>
      <c r="D29">
        <v>12</v>
      </c>
    </row>
    <row r="30" spans="1:4" x14ac:dyDescent="0.3">
      <c r="A30" t="s">
        <v>127</v>
      </c>
      <c r="B30">
        <v>15</v>
      </c>
      <c r="C30">
        <v>1</v>
      </c>
      <c r="D30">
        <v>16</v>
      </c>
    </row>
    <row r="31" spans="1:4" x14ac:dyDescent="0.3">
      <c r="A31" t="s">
        <v>120</v>
      </c>
      <c r="B31">
        <v>23</v>
      </c>
      <c r="C31">
        <v>1</v>
      </c>
      <c r="D31">
        <v>24</v>
      </c>
    </row>
    <row r="32" spans="1:4" x14ac:dyDescent="0.3">
      <c r="A32" t="s">
        <v>147</v>
      </c>
      <c r="B32">
        <v>4</v>
      </c>
      <c r="C32">
        <v>0</v>
      </c>
      <c r="D32">
        <v>4</v>
      </c>
    </row>
    <row r="33" spans="1:4" x14ac:dyDescent="0.3">
      <c r="A33" t="s">
        <v>116</v>
      </c>
      <c r="B33">
        <v>31</v>
      </c>
      <c r="C33">
        <v>0</v>
      </c>
      <c r="D33">
        <v>31</v>
      </c>
    </row>
    <row r="34" spans="1:4" x14ac:dyDescent="0.3">
      <c r="A34" t="s">
        <v>122</v>
      </c>
      <c r="B34">
        <v>23</v>
      </c>
      <c r="C34">
        <v>0</v>
      </c>
      <c r="D34">
        <v>23</v>
      </c>
    </row>
    <row r="35" spans="1:4" x14ac:dyDescent="0.3">
      <c r="A35" t="s">
        <v>172</v>
      </c>
      <c r="B35">
        <v>0</v>
      </c>
      <c r="C35">
        <v>0</v>
      </c>
      <c r="D35">
        <v>0</v>
      </c>
    </row>
    <row r="36" spans="1:4" x14ac:dyDescent="0.3">
      <c r="A36" t="s">
        <v>156</v>
      </c>
      <c r="B36">
        <v>3</v>
      </c>
      <c r="C36">
        <v>0</v>
      </c>
      <c r="D36">
        <v>3</v>
      </c>
    </row>
    <row r="37" spans="1:4" x14ac:dyDescent="0.3">
      <c r="A37" t="s">
        <v>128</v>
      </c>
      <c r="B37">
        <v>16</v>
      </c>
      <c r="C37">
        <v>0</v>
      </c>
      <c r="D37">
        <v>16</v>
      </c>
    </row>
    <row r="38" spans="1:4" x14ac:dyDescent="0.3">
      <c r="A38" t="s">
        <v>164</v>
      </c>
      <c r="B38">
        <v>1</v>
      </c>
      <c r="C38">
        <v>0</v>
      </c>
      <c r="D38">
        <v>1</v>
      </c>
    </row>
    <row r="39" spans="1:4" x14ac:dyDescent="0.3">
      <c r="A39" t="s">
        <v>101</v>
      </c>
      <c r="B39">
        <v>346</v>
      </c>
      <c r="C39">
        <v>2</v>
      </c>
      <c r="D39">
        <v>348</v>
      </c>
    </row>
    <row r="40" spans="1:4" x14ac:dyDescent="0.3">
      <c r="A40" t="s">
        <v>103</v>
      </c>
      <c r="B40">
        <v>138</v>
      </c>
      <c r="C40">
        <v>0</v>
      </c>
      <c r="D40">
        <v>138</v>
      </c>
    </row>
    <row r="41" spans="1:4" x14ac:dyDescent="0.3">
      <c r="A41" t="s">
        <v>104</v>
      </c>
      <c r="B41">
        <v>66</v>
      </c>
      <c r="C41">
        <v>0</v>
      </c>
      <c r="D41">
        <v>66</v>
      </c>
    </row>
    <row r="42" spans="1:4" x14ac:dyDescent="0.3">
      <c r="A42" t="s">
        <v>108</v>
      </c>
      <c r="B42">
        <v>54</v>
      </c>
      <c r="C42">
        <v>3</v>
      </c>
      <c r="D42">
        <v>57</v>
      </c>
    </row>
    <row r="43" spans="1:4" x14ac:dyDescent="0.3">
      <c r="A43" t="s">
        <v>110</v>
      </c>
      <c r="B43">
        <v>42</v>
      </c>
      <c r="C43">
        <v>6</v>
      </c>
      <c r="D43">
        <v>48</v>
      </c>
    </row>
    <row r="44" spans="1:4" x14ac:dyDescent="0.3">
      <c r="A44" t="s">
        <v>102</v>
      </c>
      <c r="B44">
        <v>298</v>
      </c>
      <c r="C44">
        <v>0</v>
      </c>
      <c r="D44">
        <v>298</v>
      </c>
    </row>
    <row r="45" spans="1:4" x14ac:dyDescent="0.3">
      <c r="A45" t="s">
        <v>165</v>
      </c>
      <c r="B45">
        <v>1</v>
      </c>
      <c r="C45">
        <v>0</v>
      </c>
      <c r="D45">
        <v>1</v>
      </c>
    </row>
    <row r="46" spans="1:4" x14ac:dyDescent="0.3">
      <c r="A46" t="s">
        <v>144</v>
      </c>
      <c r="B46">
        <v>6</v>
      </c>
      <c r="C46">
        <v>0</v>
      </c>
      <c r="D46">
        <v>6</v>
      </c>
    </row>
    <row r="47" spans="1:4" x14ac:dyDescent="0.3">
      <c r="A47" t="s">
        <v>111</v>
      </c>
      <c r="B47">
        <v>42</v>
      </c>
      <c r="C47">
        <v>1</v>
      </c>
      <c r="D47">
        <v>43</v>
      </c>
    </row>
    <row r="48" spans="1:4" x14ac:dyDescent="0.3">
      <c r="A48" t="s">
        <v>145</v>
      </c>
      <c r="B48">
        <v>6</v>
      </c>
      <c r="C48">
        <v>0</v>
      </c>
      <c r="D48">
        <v>6</v>
      </c>
    </row>
    <row r="49" spans="1:4" x14ac:dyDescent="0.3">
      <c r="A49" t="s">
        <v>118</v>
      </c>
      <c r="B49">
        <v>21</v>
      </c>
      <c r="C49">
        <v>5</v>
      </c>
      <c r="D49">
        <v>26</v>
      </c>
    </row>
    <row r="50" spans="1:4" x14ac:dyDescent="0.3">
      <c r="A50" t="s">
        <v>109</v>
      </c>
      <c r="B50">
        <v>48</v>
      </c>
      <c r="C50">
        <v>3</v>
      </c>
      <c r="D50">
        <v>51</v>
      </c>
    </row>
    <row r="51" spans="1:4" x14ac:dyDescent="0.3">
      <c r="A51" t="s">
        <v>173</v>
      </c>
      <c r="B51">
        <v>0</v>
      </c>
      <c r="C51">
        <v>0</v>
      </c>
      <c r="D51">
        <v>0</v>
      </c>
    </row>
    <row r="52" spans="1:4" x14ac:dyDescent="0.3">
      <c r="A52" t="s">
        <v>174</v>
      </c>
      <c r="B52">
        <v>0</v>
      </c>
      <c r="C52">
        <v>0</v>
      </c>
      <c r="D52">
        <v>0</v>
      </c>
    </row>
    <row r="53" spans="1:4" x14ac:dyDescent="0.3">
      <c r="A53" t="s">
        <v>175</v>
      </c>
      <c r="B53">
        <v>0</v>
      </c>
      <c r="C53">
        <v>0</v>
      </c>
      <c r="D53">
        <v>0</v>
      </c>
    </row>
    <row r="54" spans="1:4" x14ac:dyDescent="0.3">
      <c r="A54" t="s">
        <v>160</v>
      </c>
      <c r="B54">
        <v>2</v>
      </c>
      <c r="C54">
        <v>0</v>
      </c>
      <c r="D54">
        <v>2</v>
      </c>
    </row>
    <row r="55" spans="1:4" x14ac:dyDescent="0.3">
      <c r="A55" t="s">
        <v>148</v>
      </c>
      <c r="B55">
        <v>4</v>
      </c>
      <c r="C55">
        <v>0</v>
      </c>
      <c r="D55">
        <v>4</v>
      </c>
    </row>
    <row r="56" spans="1:4" x14ac:dyDescent="0.3">
      <c r="A56" t="s">
        <v>176</v>
      </c>
      <c r="B56">
        <v>0</v>
      </c>
      <c r="C56">
        <v>0</v>
      </c>
      <c r="D56">
        <v>0</v>
      </c>
    </row>
    <row r="57" spans="1:4" x14ac:dyDescent="0.3">
      <c r="A57" t="s">
        <v>149</v>
      </c>
      <c r="B57">
        <v>3</v>
      </c>
      <c r="C57">
        <v>1</v>
      </c>
      <c r="D57">
        <v>4</v>
      </c>
    </row>
    <row r="58" spans="1:4" x14ac:dyDescent="0.3">
      <c r="A58" t="s">
        <v>177</v>
      </c>
      <c r="B58">
        <v>0</v>
      </c>
      <c r="C58">
        <v>0</v>
      </c>
      <c r="D58">
        <v>0</v>
      </c>
    </row>
    <row r="59" spans="1:4" x14ac:dyDescent="0.3">
      <c r="A59" t="s">
        <v>166</v>
      </c>
      <c r="B59">
        <v>1</v>
      </c>
      <c r="C59">
        <v>0</v>
      </c>
      <c r="D59">
        <v>1</v>
      </c>
    </row>
    <row r="60" spans="1:4" x14ac:dyDescent="0.3">
      <c r="A60" t="s">
        <v>133</v>
      </c>
      <c r="B60">
        <v>13</v>
      </c>
      <c r="C60">
        <v>0</v>
      </c>
      <c r="D60">
        <v>13</v>
      </c>
    </row>
    <row r="61" spans="1:4" x14ac:dyDescent="0.3">
      <c r="A61" t="s">
        <v>178</v>
      </c>
      <c r="B61">
        <v>0</v>
      </c>
      <c r="C61">
        <v>0</v>
      </c>
      <c r="D61">
        <v>0</v>
      </c>
    </row>
    <row r="62" spans="1:4" x14ac:dyDescent="0.3">
      <c r="A62" t="s">
        <v>139</v>
      </c>
      <c r="B62">
        <v>9</v>
      </c>
      <c r="C62">
        <v>0</v>
      </c>
      <c r="D62">
        <v>9</v>
      </c>
    </row>
    <row r="63" spans="1:4" x14ac:dyDescent="0.3">
      <c r="A63" t="s">
        <v>146</v>
      </c>
      <c r="B63">
        <v>6</v>
      </c>
      <c r="C63">
        <v>0</v>
      </c>
      <c r="D63">
        <v>6</v>
      </c>
    </row>
    <row r="64" spans="1:4" x14ac:dyDescent="0.3">
      <c r="A64" t="s">
        <v>179</v>
      </c>
      <c r="B64">
        <v>0</v>
      </c>
      <c r="C64">
        <v>0</v>
      </c>
      <c r="D64">
        <v>0</v>
      </c>
    </row>
    <row r="65" spans="1:4" x14ac:dyDescent="0.3">
      <c r="A65" t="s">
        <v>157</v>
      </c>
      <c r="B65">
        <v>3</v>
      </c>
      <c r="C65">
        <v>0</v>
      </c>
      <c r="D65">
        <v>3</v>
      </c>
    </row>
    <row r="66" spans="1:4" x14ac:dyDescent="0.3">
      <c r="A66" t="s">
        <v>180</v>
      </c>
      <c r="B66">
        <v>0</v>
      </c>
      <c r="C66">
        <v>0</v>
      </c>
      <c r="D66">
        <v>0</v>
      </c>
    </row>
    <row r="67" spans="1:4" x14ac:dyDescent="0.3">
      <c r="A67" t="s">
        <v>181</v>
      </c>
      <c r="B67">
        <v>0</v>
      </c>
      <c r="C67">
        <v>0</v>
      </c>
      <c r="D67">
        <v>0</v>
      </c>
    </row>
    <row r="68" spans="1:4" x14ac:dyDescent="0.3">
      <c r="A68" t="s">
        <v>158</v>
      </c>
      <c r="B68">
        <v>3</v>
      </c>
      <c r="C68">
        <v>0</v>
      </c>
      <c r="D68">
        <v>3</v>
      </c>
    </row>
    <row r="69" spans="1:4" x14ac:dyDescent="0.3">
      <c r="A69" t="s">
        <v>150</v>
      </c>
      <c r="B69">
        <v>4</v>
      </c>
      <c r="C69">
        <v>0</v>
      </c>
      <c r="D69">
        <v>4</v>
      </c>
    </row>
    <row r="70" spans="1:4" x14ac:dyDescent="0.3">
      <c r="A70" t="s">
        <v>141</v>
      </c>
      <c r="B70">
        <v>6</v>
      </c>
      <c r="C70">
        <v>1</v>
      </c>
      <c r="D70">
        <v>7</v>
      </c>
    </row>
    <row r="71" spans="1:4" x14ac:dyDescent="0.3">
      <c r="A71" t="s">
        <v>124</v>
      </c>
      <c r="B71">
        <v>21</v>
      </c>
      <c r="C71">
        <v>0</v>
      </c>
      <c r="D71">
        <v>21</v>
      </c>
    </row>
    <row r="72" spans="1:4" x14ac:dyDescent="0.3">
      <c r="A72" t="s">
        <v>112</v>
      </c>
      <c r="B72">
        <v>33</v>
      </c>
      <c r="C72">
        <v>3</v>
      </c>
      <c r="D72">
        <v>36</v>
      </c>
    </row>
    <row r="73" spans="1:4" x14ac:dyDescent="0.3">
      <c r="A73" t="s">
        <v>125</v>
      </c>
      <c r="B73">
        <v>18</v>
      </c>
      <c r="C73">
        <v>3</v>
      </c>
      <c r="D73">
        <v>21</v>
      </c>
    </row>
    <row r="74" spans="1:4" x14ac:dyDescent="0.3">
      <c r="A74" t="s">
        <v>129</v>
      </c>
      <c r="B74">
        <v>15</v>
      </c>
      <c r="C74">
        <v>0</v>
      </c>
      <c r="D74">
        <v>15</v>
      </c>
    </row>
    <row r="75" spans="1:4" x14ac:dyDescent="0.3">
      <c r="A75" t="s">
        <v>137</v>
      </c>
      <c r="B75">
        <v>9</v>
      </c>
      <c r="C75">
        <v>1</v>
      </c>
      <c r="D75">
        <v>10</v>
      </c>
    </row>
    <row r="76" spans="1:4" x14ac:dyDescent="0.3">
      <c r="A76" t="s">
        <v>136</v>
      </c>
      <c r="B76">
        <v>8</v>
      </c>
      <c r="C76">
        <v>3</v>
      </c>
      <c r="D76">
        <v>11</v>
      </c>
    </row>
    <row r="77" spans="1:4" x14ac:dyDescent="0.3">
      <c r="A77" t="s">
        <v>167</v>
      </c>
      <c r="B77">
        <v>1</v>
      </c>
      <c r="C77">
        <v>0</v>
      </c>
      <c r="D77">
        <v>1</v>
      </c>
    </row>
    <row r="78" spans="1:4" x14ac:dyDescent="0.3">
      <c r="A78" t="s">
        <v>161</v>
      </c>
      <c r="B78">
        <v>2</v>
      </c>
      <c r="C78">
        <v>0</v>
      </c>
      <c r="D78">
        <v>2</v>
      </c>
    </row>
    <row r="79" spans="1:4" x14ac:dyDescent="0.3">
      <c r="A79" t="s">
        <v>182</v>
      </c>
      <c r="B79">
        <v>0</v>
      </c>
      <c r="C79">
        <v>0</v>
      </c>
      <c r="D79">
        <v>0</v>
      </c>
    </row>
    <row r="80" spans="1:4" x14ac:dyDescent="0.3">
      <c r="A80" t="s">
        <v>183</v>
      </c>
      <c r="B80">
        <v>0</v>
      </c>
      <c r="C80">
        <v>0</v>
      </c>
      <c r="D80">
        <v>0</v>
      </c>
    </row>
    <row r="81" spans="1:4" x14ac:dyDescent="0.3">
      <c r="A81" t="s">
        <v>184</v>
      </c>
      <c r="B81">
        <v>0</v>
      </c>
      <c r="C81">
        <v>0</v>
      </c>
      <c r="D81">
        <v>0</v>
      </c>
    </row>
    <row r="82" spans="1:4" x14ac:dyDescent="0.3">
      <c r="A82" t="s">
        <v>168</v>
      </c>
      <c r="B82">
        <v>1</v>
      </c>
      <c r="C82">
        <v>0</v>
      </c>
      <c r="D82">
        <v>1</v>
      </c>
    </row>
    <row r="83" spans="1:4" x14ac:dyDescent="0.3">
      <c r="A83" t="s">
        <v>169</v>
      </c>
      <c r="B83">
        <v>1</v>
      </c>
      <c r="C83">
        <v>0</v>
      </c>
      <c r="D83">
        <v>1</v>
      </c>
    </row>
    <row r="84" spans="1:4" x14ac:dyDescent="0.3">
      <c r="A84" t="s">
        <v>151</v>
      </c>
      <c r="B84">
        <v>4</v>
      </c>
      <c r="C84">
        <v>0</v>
      </c>
      <c r="D84">
        <v>4</v>
      </c>
    </row>
    <row r="85" spans="1:4" x14ac:dyDescent="0.3">
      <c r="A85" t="s">
        <v>162</v>
      </c>
      <c r="B85">
        <v>2</v>
      </c>
      <c r="C85">
        <v>0</v>
      </c>
      <c r="D85">
        <v>2</v>
      </c>
    </row>
    <row r="86" spans="1:4" x14ac:dyDescent="0.3">
      <c r="A86" t="s">
        <v>185</v>
      </c>
      <c r="B86">
        <v>0</v>
      </c>
      <c r="C86">
        <v>0</v>
      </c>
      <c r="D86">
        <v>0</v>
      </c>
    </row>
    <row r="87" spans="1:4" x14ac:dyDescent="0.3">
      <c r="A87" t="s">
        <v>186</v>
      </c>
      <c r="B87">
        <v>0</v>
      </c>
      <c r="C87">
        <v>0</v>
      </c>
      <c r="D87">
        <v>0</v>
      </c>
    </row>
    <row r="88" spans="1:4" x14ac:dyDescent="0.3">
      <c r="A88" t="s">
        <v>187</v>
      </c>
      <c r="B88">
        <v>0</v>
      </c>
      <c r="C88">
        <v>0</v>
      </c>
      <c r="D88">
        <v>0</v>
      </c>
    </row>
    <row r="89" spans="1:4" x14ac:dyDescent="0.3">
      <c r="A89" t="s">
        <v>188</v>
      </c>
      <c r="B89">
        <v>0</v>
      </c>
      <c r="C89">
        <v>0</v>
      </c>
      <c r="D8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54BE0-E930-4575-9CD2-0E211EAD37E2}">
  <dimension ref="A1:F2"/>
  <sheetViews>
    <sheetView tabSelected="1" workbookViewId="0">
      <selection sqref="A1:B1048576"/>
    </sheetView>
  </sheetViews>
  <sheetFormatPr defaultRowHeight="14.4" x14ac:dyDescent="0.3"/>
  <cols>
    <col min="1" max="1" width="22.21875" bestFit="1" customWidth="1"/>
    <col min="4" max="4" width="12.33203125" bestFit="1" customWidth="1"/>
    <col min="5" max="5" width="9.88671875" bestFit="1" customWidth="1"/>
  </cols>
  <sheetData>
    <row r="1" spans="1:6" x14ac:dyDescent="0.3">
      <c r="A1" t="s">
        <v>196</v>
      </c>
      <c r="B1" t="s">
        <v>197</v>
      </c>
      <c r="C1" t="s">
        <v>198</v>
      </c>
      <c r="D1" t="s">
        <v>199</v>
      </c>
      <c r="E1" t="s">
        <v>189</v>
      </c>
      <c r="F1" t="s">
        <v>190</v>
      </c>
    </row>
    <row r="2" spans="1:6" x14ac:dyDescent="0.3">
      <c r="A2">
        <v>37</v>
      </c>
      <c r="B2">
        <v>70</v>
      </c>
      <c r="C2">
        <v>420</v>
      </c>
      <c r="D2">
        <v>588</v>
      </c>
      <c r="E2">
        <v>354</v>
      </c>
      <c r="F2">
        <v>428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F4AF1-4292-4789-8502-6D82C0D0A048}">
  <dimension ref="A1:C2"/>
  <sheetViews>
    <sheetView workbookViewId="0">
      <selection sqref="A1:B1048576"/>
    </sheetView>
  </sheetViews>
  <sheetFormatPr defaultRowHeight="14.4" x14ac:dyDescent="0.3"/>
  <sheetData>
    <row r="1" spans="1:3" x14ac:dyDescent="0.3">
      <c r="A1" t="s">
        <v>194</v>
      </c>
      <c r="B1" t="s">
        <v>84</v>
      </c>
      <c r="C1" t="s">
        <v>192</v>
      </c>
    </row>
    <row r="2" spans="1:3" x14ac:dyDescent="0.3">
      <c r="A2">
        <v>1851</v>
      </c>
      <c r="B2">
        <v>54</v>
      </c>
      <c r="C2">
        <v>1897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8DF55-A569-41B5-A3AF-9FC1085E2950}">
  <dimension ref="A1:B2"/>
  <sheetViews>
    <sheetView workbookViewId="0">
      <selection sqref="A1:B1048576"/>
    </sheetView>
  </sheetViews>
  <sheetFormatPr defaultRowHeight="14.4" x14ac:dyDescent="0.3"/>
  <sheetData>
    <row r="1" spans="1:2" x14ac:dyDescent="0.3">
      <c r="A1" t="s">
        <v>193</v>
      </c>
      <c r="B1" t="s">
        <v>195</v>
      </c>
    </row>
    <row r="2" spans="1:2" x14ac:dyDescent="0.3">
      <c r="A2">
        <v>11</v>
      </c>
      <c r="B2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7</vt:i4>
      </vt:variant>
    </vt:vector>
  </HeadingPairs>
  <TitlesOfParts>
    <vt:vector size="7" baseType="lpstr">
      <vt:lpstr>İl</vt:lpstr>
      <vt:lpstr>Yaş</vt:lpstr>
      <vt:lpstr>Aylar </vt:lpstr>
      <vt:lpstr>Sektör</vt:lpstr>
      <vt:lpstr>Sektör Hesaplı</vt:lpstr>
      <vt:lpstr>Cinsiyet Hesaplı</vt:lpstr>
      <vt:lpstr>Yaş Hesaplı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Gaming G15</dc:creator>
  <cp:lastModifiedBy>Yusuf Özev</cp:lastModifiedBy>
  <dcterms:created xsi:type="dcterms:W3CDTF">2015-06-05T18:17:20Z</dcterms:created>
  <dcterms:modified xsi:type="dcterms:W3CDTF">2025-10-19T19:51:16Z</dcterms:modified>
</cp:coreProperties>
</file>